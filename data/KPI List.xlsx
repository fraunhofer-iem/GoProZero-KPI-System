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bookViews>
    <workbookView xWindow="-120" yWindow="-120" windowWidth="38640" windowHeight="21120" tabRatio="735" activeTab="7" xr2:uid="{00000000-000D-0000-FFFF-FFFF00000000}"/>
  </bookViews>
  <sheets>
    <sheet name="Overview" sheetId="2" r:id="rId1"/>
    <sheet name="Top-Level" sheetId="9" r:id="rId2"/>
    <sheet name="Environmental Impact" sheetId="12" r:id="rId3"/>
    <sheet name="Economic Viability" sheetId="13" r:id="rId4"/>
    <sheet name="Circular Efforts" sheetId="15" r:id="rId5"/>
    <sheet name="Resource Efficiency" sheetId="10" r:id="rId6"/>
    <sheet name="Social Impact" sheetId="17" r:id="rId7"/>
    <sheet name="Metrics List" sheetId="22" r:id="rId8"/>
    <sheet name="References" sheetId="18" r:id="rId9"/>
  </sheets>
  <definedNames>
    <definedName name="_xlnm._FilterDatabase" localSheetId="5" hidden="1">'Resource Efficiency'!$A$1:$R$46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4" i="22" l="1"/>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F115" i="22"/>
  <c r="F114" i="22"/>
  <c r="F113" i="22"/>
  <c r="F112" i="22"/>
  <c r="F111" i="22"/>
  <c r="F110" i="22"/>
  <c r="F109" i="22"/>
  <c r="F108" i="22"/>
  <c r="F107" i="22"/>
  <c r="F106" i="22"/>
  <c r="F105" i="22"/>
  <c r="F104" i="22"/>
  <c r="F103" i="22"/>
  <c r="F102" i="22"/>
  <c r="F101" i="22"/>
  <c r="F100" i="22"/>
  <c r="F99" i="22"/>
  <c r="F98" i="22"/>
  <c r="F97" i="22"/>
  <c r="F96" i="22"/>
  <c r="F95" i="22"/>
  <c r="F94" i="22"/>
  <c r="F93" i="22"/>
  <c r="F92" i="22"/>
  <c r="F91" i="22"/>
  <c r="F90" i="22"/>
  <c r="F89" i="22"/>
  <c r="F88" i="22"/>
  <c r="F87" i="22"/>
  <c r="F86" i="22"/>
  <c r="F85" i="22"/>
  <c r="F84" i="22"/>
  <c r="F83" i="22"/>
  <c r="F82" i="22"/>
  <c r="F81" i="22"/>
  <c r="F80" i="22"/>
  <c r="F79" i="22"/>
  <c r="F78" i="22"/>
  <c r="F77" i="22"/>
  <c r="F76" i="22"/>
  <c r="F75" i="22"/>
  <c r="F74" i="22"/>
  <c r="F73" i="22"/>
  <c r="F72" i="22"/>
  <c r="F71"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17" i="22"/>
  <c r="F16" i="22"/>
  <c r="F15" i="22"/>
  <c r="F14" i="22"/>
  <c r="F13" i="22"/>
  <c r="F12" i="22"/>
  <c r="F11" i="22"/>
  <c r="F10" i="22"/>
  <c r="F9" i="22"/>
  <c r="F8" i="22"/>
  <c r="F7" i="22"/>
  <c r="F6" i="22"/>
  <c r="F5" i="22"/>
  <c r="F4" i="22"/>
  <c r="F3" i="22"/>
  <c r="F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tc={C5511CA9-58C7-4605-9BB3-9BEA8B419DDC}</author>
    <author>tc={BD693F1B-01E9-4C4C-9011-25EAAC4D6393}</author>
    <author>tc={D522731A-081F-4B21-8187-5DB02169B021}</author>
    <author>tc={8BEF53BB-CA65-4CEB-8A25-2357D244AB9C}</author>
    <author>tc={326222E1-34BF-4AF1-8734-24B0260EB0E3}</author>
    <author>tc={3882223C-4C38-4294-BC32-EB5330619167}</author>
    <author>tc={63625332-174C-41FC-ACB2-78BBEBD56086}</author>
    <author>tc={BBF9D816-0F3D-46FC-959C-4942317A7C7D}</author>
  </authors>
  <commentList>
    <comment ref="F1" authorId="0" shapeId="0" xr:uid="{C5511CA9-58C7-4605-9BB3-9BEA8B419DDC}">
      <text>
        <t>[Threaded comment]
Your version of Excel allows you to read this threaded comment; however, any edits to it will get removed if the file is opened in a newer version of Excel. Learn more: https://go.microsoft.com/fwlink/?linkid=870924
Comment:
    Higher level KPIs using this KPI as data source</t>
      </text>
    </comment>
    <comment ref="K1" authorId="1" shapeId="0" xr:uid="{BD693F1B-01E9-4C4C-9011-25EAAC4D6393}">
      <text>
        <t>[Threaded comment]
Your version of Excel allows you to read this threaded comment; however, any edits to it will get removed if the file is opened in a newer version of Excel. Learn more: https://go.microsoft.com/fwlink/?linkid=870924
Comment:
    Represents the hierarchy level of the KPI in the system. 0 being the highest level indicator.
Reply:
    Wird irgendwo deutlich welche Tier 2 in welche Tier 1 KPI einfließen?</t>
      </text>
    </comment>
    <comment ref="O1" authorId="2" shapeId="0" xr:uid="{D522731A-081F-4B21-8187-5DB02169B021}">
      <text>
        <t>[Threaded comment]
Your version of Excel allows you to read this threaded comment; however, any edits to it will get removed if the file is opened in a newer version of Excel. Learn more: https://go.microsoft.com/fwlink/?linkid=870924
Comment:
    This is the ID for automating the calculation.</t>
      </text>
    </comment>
    <comment ref="C36" authorId="3" shapeId="0" xr:uid="{8BEF53BB-CA65-4CEB-8A25-2357D244AB9C}">
      <text>
        <t xml:space="preserve">[Threaded comment]
Your version of Excel allows you to read this threaded comment; however, any edits to it will get removed if the file is opened in a newer version of Excel. Learn more: https://go.microsoft.com/fwlink/?linkid=870924
Comment:
    Die Gehälter und Löhne der Mitarbeiter, die direkt an der Produktion beteiligt sind </t>
      </text>
    </comment>
    <comment ref="C37" authorId="4" shapeId="0" xr:uid="{326222E1-34BF-4AF1-8734-24B0260EB0E3}">
      <text>
        <t xml:space="preserve">[Threaded comment]
Your version of Excel allows you to read this threaded comment; however, any edits to it will get removed if the file is opened in a newer version of Excel. Learn more: https://go.microsoft.com/fwlink/?linkid=870924
Comment:
    Kosten, die indirekt mit der Produktion zusammenhängen, wie z.B. Miete, Strom, Abschreibung von Produktionsanlagen, Wartung und Betriebsmittel </t>
      </text>
    </comment>
    <comment ref="C38" authorId="5" shapeId="0" xr:uid="{3882223C-4C38-4294-BC32-EB5330619167}">
      <text>
        <t xml:space="preserve">[Threaded comment]
Your version of Excel allows you to read this threaded comment; however, any edits to it will get removed if the file is opened in a newer version of Excel. Learn more: https://go.microsoft.com/fwlink/?linkid=870924
Comment:
    Die Kosten für die Verpackung, wenn diese für den Verkauf des Produkts erforderlich ist </t>
      </text>
    </comment>
    <comment ref="C39" authorId="6" shapeId="0" xr:uid="{63625332-174C-41FC-ACB2-78BBEBD56086}">
      <text>
        <t>[Threaded comment]
Your version of Excel allows you to read this threaded comment; however, any edits to it will get removed if the file is opened in a newer version of Excel. Learn more: https://go.microsoft.com/fwlink/?linkid=870924
Comment:
    Die Kosten für den Transport der hergestellten Waren zum Lager des Unternehmens</t>
      </text>
    </comment>
    <comment ref="C40" authorId="7" shapeId="0" xr:uid="{BBF9D816-0F3D-46FC-959C-4942317A7C7D}">
      <text>
        <t>[Threaded comment]
Your version of Excel allows you to read this threaded comment; however, any edits to it will get removed if the file is opened in a newer version of Excel. Learn more: https://go.microsoft.com/fwlink/?linkid=870924
Comment:
    Die Kosten für den Transport der hergestellten Waren zum Lager des Unternehmens</t>
      </text>
    </comment>
  </commentList>
</comments>
</file>

<file path=xl/sharedStrings.xml><?xml version="1.0" encoding="utf-8"?>
<sst xmlns="http://schemas.openxmlformats.org/spreadsheetml/2006/main" count="5967" uniqueCount="1810">
  <si>
    <t>Glossary</t>
  </si>
  <si>
    <t>General</t>
  </si>
  <si>
    <t>R-Principles:</t>
  </si>
  <si>
    <t>Term</t>
  </si>
  <si>
    <t>Explanation</t>
  </si>
  <si>
    <t>What</t>
  </si>
  <si>
    <t>Number</t>
  </si>
  <si>
    <t>Name</t>
  </si>
  <si>
    <t>Description</t>
  </si>
  <si>
    <t>Goal</t>
  </si>
  <si>
    <t>R0</t>
  </si>
  <si>
    <t>Refuse</t>
  </si>
  <si>
    <t>To avoid unnecessary products and materials.</t>
  </si>
  <si>
    <t>Structure</t>
  </si>
  <si>
    <t>R1</t>
  </si>
  <si>
    <t>Rethink</t>
  </si>
  <si>
    <t>To innovate and redesign products for better sustainability.</t>
  </si>
  <si>
    <t>ESRS</t>
  </si>
  <si>
    <r>
      <t xml:space="preserve">A </t>
    </r>
    <r>
      <rPr>
        <b/>
        <sz val="11"/>
        <color theme="1"/>
        <rFont val="Calibri"/>
        <family val="2"/>
        <scheme val="minor"/>
      </rPr>
      <t>reporting standard</t>
    </r>
    <r>
      <rPr>
        <sz val="11"/>
        <color theme="1"/>
        <rFont val="Calibri"/>
        <family val="2"/>
        <scheme val="minor"/>
      </rPr>
      <t xml:space="preserve"> framework for sustainability performance and impact that is in line with the Corporate Sustainability Reporting Directive (CSRD). Stands for </t>
    </r>
    <r>
      <rPr>
        <b/>
        <sz val="11"/>
        <color theme="1"/>
        <rFont val="Calibri"/>
        <family val="2"/>
        <scheme val="minor"/>
      </rPr>
      <t>European Sustainability Reporting Standards.</t>
    </r>
  </si>
  <si>
    <t>How It Works</t>
  </si>
  <si>
    <t>R2</t>
  </si>
  <si>
    <t>Reduce</t>
  </si>
  <si>
    <t>The minimization of resource consumption and waste generation.</t>
  </si>
  <si>
    <t>SASB</t>
  </si>
  <si>
    <r>
      <t xml:space="preserve">A </t>
    </r>
    <r>
      <rPr>
        <b/>
        <sz val="11"/>
        <color theme="1"/>
        <rFont val="Calibri"/>
        <family val="2"/>
        <scheme val="minor"/>
      </rPr>
      <t>standard</t>
    </r>
    <r>
      <rPr>
        <sz val="11"/>
        <color theme="1"/>
        <rFont val="Calibri"/>
        <family val="2"/>
        <scheme val="minor"/>
      </rPr>
      <t xml:space="preserve"> across various industry-specific sectors, addressing environmental, social, and governance (ESG) issues that are most likely to impact financial outcomes. Stands for </t>
    </r>
    <r>
      <rPr>
        <b/>
        <sz val="11"/>
        <color theme="1"/>
        <rFont val="Calibri"/>
        <family val="2"/>
        <scheme val="minor"/>
      </rPr>
      <t>Sustainability Accounting Standards Board</t>
    </r>
    <r>
      <rPr>
        <sz val="11"/>
        <color theme="1"/>
        <rFont val="Calibri"/>
        <family val="2"/>
        <scheme val="minor"/>
      </rPr>
      <t>.</t>
    </r>
  </si>
  <si>
    <t>R3</t>
  </si>
  <si>
    <t>Reuse</t>
  </si>
  <si>
    <t>The re-using of used product with minimal effort in restoring the quality.</t>
  </si>
  <si>
    <t>GRI</t>
  </si>
  <si>
    <r>
      <t xml:space="preserve">A </t>
    </r>
    <r>
      <rPr>
        <b/>
        <sz val="11"/>
        <color theme="1"/>
        <rFont val="Calibri"/>
        <family val="2"/>
        <scheme val="minor"/>
      </rPr>
      <t>reporting standard</t>
    </r>
    <r>
      <rPr>
        <sz val="11"/>
        <color theme="1"/>
        <rFont val="Calibri"/>
        <family val="2"/>
        <scheme val="minor"/>
      </rPr>
      <t xml:space="preserve"> to disclose economic, environmental, and social performance. Stands for </t>
    </r>
    <r>
      <rPr>
        <b/>
        <sz val="11"/>
        <color theme="1"/>
        <rFont val="Calibri"/>
        <family val="2"/>
        <scheme val="minor"/>
      </rPr>
      <t>Global Reporting Initiative</t>
    </r>
    <r>
      <rPr>
        <sz val="11"/>
        <color theme="1"/>
        <rFont val="Calibri"/>
        <family val="2"/>
        <scheme val="minor"/>
      </rPr>
      <t>.</t>
    </r>
  </si>
  <si>
    <t>R4</t>
  </si>
  <si>
    <t>Repair</t>
  </si>
  <si>
    <t>The use of broken products without substantial effort to extend their lifespan.</t>
  </si>
  <si>
    <t>LCA</t>
  </si>
  <si>
    <r>
      <t xml:space="preserve">In this context, a possible </t>
    </r>
    <r>
      <rPr>
        <b/>
        <sz val="11"/>
        <color theme="1"/>
        <rFont val="Calibri"/>
        <family val="2"/>
        <scheme val="minor"/>
      </rPr>
      <t>data source</t>
    </r>
    <r>
      <rPr>
        <sz val="11"/>
        <color theme="1"/>
        <rFont val="Calibri"/>
        <family val="2"/>
        <scheme val="minor"/>
      </rPr>
      <t xml:space="preserve"> for obtaining metric data for calculation. Stands for </t>
    </r>
    <r>
      <rPr>
        <b/>
        <sz val="11"/>
        <color theme="1"/>
        <rFont val="Calibri"/>
        <family val="2"/>
        <scheme val="minor"/>
      </rPr>
      <t>Life Cycle Assessment</t>
    </r>
    <r>
      <rPr>
        <sz val="11"/>
        <color theme="1"/>
        <rFont val="Calibri"/>
        <family val="2"/>
        <scheme val="minor"/>
      </rPr>
      <t>.  Commonly associated with OpenLCA &amp; Gabi software.</t>
    </r>
  </si>
  <si>
    <t>R5</t>
  </si>
  <si>
    <t>Refurbish</t>
  </si>
  <si>
    <t>The restoration of disposed products to good working condition, often updating them in the process.</t>
  </si>
  <si>
    <t>LCC</t>
  </si>
  <si>
    <r>
      <t xml:space="preserve">In this context, a possible </t>
    </r>
    <r>
      <rPr>
        <b/>
        <sz val="11"/>
        <color theme="1"/>
        <rFont val="Calibri"/>
        <family val="2"/>
        <scheme val="minor"/>
      </rPr>
      <t>data source</t>
    </r>
    <r>
      <rPr>
        <sz val="11"/>
        <color theme="1"/>
        <rFont val="Calibri"/>
        <family val="2"/>
        <scheme val="minor"/>
      </rPr>
      <t xml:space="preserve"> for obtaining metric data for calculation specifically for monetary data. Stands for </t>
    </r>
    <r>
      <rPr>
        <b/>
        <sz val="11"/>
        <color theme="1"/>
        <rFont val="Calibri"/>
        <family val="2"/>
        <scheme val="minor"/>
      </rPr>
      <t>Life Cycle Cost (Analysis)</t>
    </r>
    <r>
      <rPr>
        <sz val="11"/>
        <color theme="1"/>
        <rFont val="Calibri"/>
        <family val="2"/>
        <scheme val="minor"/>
      </rPr>
      <t xml:space="preserve">. </t>
    </r>
  </si>
  <si>
    <t>R6</t>
  </si>
  <si>
    <t>Remanufacture</t>
  </si>
  <si>
    <t>The disassembly and recovery of disposed product components into a new unit to at least it's original quality. The process: Disassembly, testing, repair, cleaning, inspection, updating, component replacement and assembly.</t>
  </si>
  <si>
    <t>Normalized</t>
  </si>
  <si>
    <t>Min-max normalization. Transforms values linearly to fit the 0…1 range. It needs the expected minimum and maximal value which is defined by the company themselves.
Normalized Score = (Value - Minimum) / (Maximum - Minimum). Score is strictly limited at the min max range.</t>
  </si>
  <si>
    <t>R7</t>
  </si>
  <si>
    <t>Repurpose</t>
  </si>
  <si>
    <t>The use of disposed product components for a different purpose.</t>
  </si>
  <si>
    <t>PLC</t>
  </si>
  <si>
    <t>R8</t>
  </si>
  <si>
    <t>Recycle</t>
  </si>
  <si>
    <t>Process disposed materials as input to create new products instead of discarding them.</t>
  </si>
  <si>
    <t>R9</t>
  </si>
  <si>
    <t>Recover</t>
  </si>
  <si>
    <t xml:space="preserve">	Extract useful materials or energy from disposed waste.</t>
  </si>
  <si>
    <t>KPI</t>
  </si>
  <si>
    <t>Purpose</t>
  </si>
  <si>
    <t>Sustainability</t>
  </si>
  <si>
    <t>Resource Efficiency</t>
  </si>
  <si>
    <t>The Resource Efficiency measures the effectiveness with which a product utilizes materials, energy, and other resources throughout its lifecycle (from design to disposal). It integrates various SubKPIs that quantify specific aspects of resource utilization, helping organizations assess and improve the sustainability and efficiency of their products.</t>
  </si>
  <si>
    <t>Circular Efforts</t>
  </si>
  <si>
    <t>Environmental Impact</t>
  </si>
  <si>
    <t>The Economic Viability measures the financial viability and economic benefits of a product throughout its lifecycle. It integrates SubKPIs that quantify specific aspects of economic performance, helping organizations assess current viability of the product and improve the profitability and cost-effectiveness of their products.</t>
  </si>
  <si>
    <t>Social Impact</t>
  </si>
  <si>
    <t>The Social Impact measures the social value created by the product’s sustainability and circularity initiatives. It helps evaluate how these efforts contribute to societal well-being and how viable the product is from a social aspect.</t>
  </si>
  <si>
    <t>#</t>
  </si>
  <si>
    <t>Indicator Name</t>
  </si>
  <si>
    <t>Objective / Goal</t>
  </si>
  <si>
    <t>Underlying Metrics</t>
  </si>
  <si>
    <t>Potential Reference Values</t>
  </si>
  <si>
    <t>Unit</t>
  </si>
  <si>
    <t>Formula</t>
  </si>
  <si>
    <t>Reference</t>
  </si>
  <si>
    <t>Level</t>
  </si>
  <si>
    <t>Data?</t>
  </si>
  <si>
    <t>Comment</t>
  </si>
  <si>
    <t>EC0</t>
  </si>
  <si>
    <t>To provide a single metric to evaluate how viable the product and its circular services is economically.</t>
  </si>
  <si>
    <t>None</t>
  </si>
  <si>
    <t>%</t>
  </si>
  <si>
    <t>EC1</t>
  </si>
  <si>
    <t>Return On Investment (ROI)</t>
  </si>
  <si>
    <t>To assess whether the product investment meets required returns and to benchmark against the industry average.</t>
  </si>
  <si>
    <t>Target Value: min, max
Industry Average</t>
  </si>
  <si>
    <t>(Net Profit / Total Investment Cost) * 100</t>
  </si>
  <si>
    <t>EC2</t>
  </si>
  <si>
    <t>Gross Margin</t>
  </si>
  <si>
    <t>Measures the difference between the revenue generated from selling the product and the cost of goods sold (COGS) associated with the product. It is expressed as a percentage of revenue and indicates how efficiently a product is being produced and sold. Which is then compared to a given reference value.</t>
  </si>
  <si>
    <t>To ensure product pricing and production are economically efficient.</t>
  </si>
  <si>
    <t>(Revenue - COGS) / Revenue</t>
  </si>
  <si>
    <t>EC11</t>
  </si>
  <si>
    <t>Total Investment Cost</t>
  </si>
  <si>
    <t>Measures the overall costs associated with the product throughout it's lifecycle from development to it's end-of-life.</t>
  </si>
  <si>
    <t>To provide the denominator for ROI and decision support for new product / business cases.</t>
  </si>
  <si>
    <t>€</t>
  </si>
  <si>
    <t>Development Costs +
Marketing Costs +
Operating Costs +
Lifecycle Management Costs +
EOL Costs</t>
  </si>
  <si>
    <t>EC12</t>
  </si>
  <si>
    <t>Net Profit</t>
  </si>
  <si>
    <t>Revenue minus COGS, operating costs, lifecycle management costs, and EOL costs.</t>
  </si>
  <si>
    <t>To determine product contribution to company profit.</t>
  </si>
  <si>
    <t>Revenue -
(COGS + Operating Costs + Lifecycle Management Costs + EOL Costs)</t>
  </si>
  <si>
    <t>RE+20</t>
  </si>
  <si>
    <t>EC1-1</t>
  </si>
  <si>
    <t>Development Costs</t>
  </si>
  <si>
    <t>Expenses related to designing a circular product, which may include sustainable materials and eco-design principles.</t>
  </si>
  <si>
    <t>x</t>
  </si>
  <si>
    <t>EC1-2</t>
  </si>
  <si>
    <t>Marketing Costs</t>
  </si>
  <si>
    <t>Costs for promotional activities and campaigns to launch and promote the product.</t>
  </si>
  <si>
    <t>EC1-3</t>
  </si>
  <si>
    <t>Operating Costs</t>
  </si>
  <si>
    <t>Ongoing expenses related to manufacturing, distribution, and support.</t>
  </si>
  <si>
    <t>EC1-4</t>
  </si>
  <si>
    <t>Revenue</t>
  </si>
  <si>
    <t>Total sales revenue generated from the product also including all circular efforts such as revenue from refurbished products.</t>
  </si>
  <si>
    <t>EC111</t>
  </si>
  <si>
    <t>Lifecycle Management Costs</t>
  </si>
  <si>
    <t>To control recurring cost drivers that reduce profitability and ROI.</t>
  </si>
  <si>
    <t>EC112</t>
  </si>
  <si>
    <t>EOL Costs</t>
  </si>
  <si>
    <t>To reduce EoL liabilities and improve circular business cases.</t>
  </si>
  <si>
    <t>Recycling Costs +
Recovery Costs</t>
  </si>
  <si>
    <t>EC121</t>
  </si>
  <si>
    <t>Cost of Goods Sold (COGS)</t>
  </si>
  <si>
    <t>To manage production profitability and margin.</t>
  </si>
  <si>
    <t>The actual costs integrated into COGS depend on the calculation scheme used. HGB and IFRS define very different standards on this…</t>
  </si>
  <si>
    <t>EC1-5</t>
  </si>
  <si>
    <t>Material Costs</t>
  </si>
  <si>
    <t>Costs related to the material and its sourcing needed to manufacture the product.</t>
  </si>
  <si>
    <t>Virgin + Non-Virgin Material Costs</t>
  </si>
  <si>
    <t>EC1-6</t>
  </si>
  <si>
    <t>Virgin Material Costs</t>
  </si>
  <si>
    <t>EC1-7</t>
  </si>
  <si>
    <t>Non-Virgin Material Costs</t>
  </si>
  <si>
    <t>EC1-8</t>
  </si>
  <si>
    <t>Labor Costs</t>
  </si>
  <si>
    <t>Costs related to the labor directly involved in the production of the product.</t>
  </si>
  <si>
    <t>EC1-9</t>
  </si>
  <si>
    <t>Overhead Costs</t>
  </si>
  <si>
    <t>Indirect costs related to the production e.g. rent, utilities, deprecation, tools, etc.</t>
  </si>
  <si>
    <t>Packaging Costs</t>
  </si>
  <si>
    <t>Costs related to the production of packaging needed for the product.</t>
  </si>
  <si>
    <t>Costs related to the logistics of materials, products, etc. throughout the product's lifecycle.</t>
  </si>
  <si>
    <t>EC3</t>
  </si>
  <si>
    <t>Market Share Fulfillment</t>
  </si>
  <si>
    <t>To compare the actual market share to your target value to estimate your product's performance</t>
  </si>
  <si>
    <t>Share = Revenue / Total Market Revenue
(Share - Min) / (Max - Min)</t>
  </si>
  <si>
    <t>EC3-1</t>
  </si>
  <si>
    <t>Total Market Revenue</t>
  </si>
  <si>
    <t>Total sales revenue generated from competitors or similar products in the market.</t>
  </si>
  <si>
    <t>3</t>
  </si>
  <si>
    <t>EC4</t>
  </si>
  <si>
    <t>Circular Service Viability</t>
  </si>
  <si>
    <t>Target Value: min, max</t>
  </si>
  <si>
    <t>EC41</t>
  </si>
  <si>
    <t>Repair Viability</t>
  </si>
  <si>
    <t>Compares costs and profits connected to repairing to highlight its economic viability.</t>
  </si>
  <si>
    <t>To identify whether repairing is profitable and scalable.</t>
  </si>
  <si>
    <t>4</t>
  </si>
  <si>
    <t>Ratio = Profits / Costs
(Ratio - Min) / (Max - Min)</t>
  </si>
  <si>
    <t>EC4-1</t>
  </si>
  <si>
    <t>Repair Profits</t>
  </si>
  <si>
    <t>SASB RT-CP-410a.2
FAC+21</t>
  </si>
  <si>
    <t>EC411</t>
  </si>
  <si>
    <t>Repair Costs</t>
  </si>
  <si>
    <t>The total expenses associated with repairing a sustainable product, including labor, parts, and any additional resources required to restore the product to working condition.</t>
  </si>
  <si>
    <t>To understand the cost drivers to reduce repair expenses.</t>
  </si>
  <si>
    <t>R4 Material Costs +
R4 Diagnostic Costs +
R4 QA / Testing Costs +
R4 Logistics Costs</t>
  </si>
  <si>
    <t>EC4-2</t>
  </si>
  <si>
    <t>R4 Material Costs</t>
  </si>
  <si>
    <t>Costs associated with materials necessary for repair.</t>
  </si>
  <si>
    <t>EC4-3</t>
  </si>
  <si>
    <t>R4 Diagnostic Costs</t>
  </si>
  <si>
    <t>Costs associated with problem diagnosis before performing any repair.</t>
  </si>
  <si>
    <t>EC4-4</t>
  </si>
  <si>
    <t>R4 QA / Testing Costs</t>
  </si>
  <si>
    <t>Costs associated to ensure that the product functions correctly according to standards.</t>
  </si>
  <si>
    <t>EC4-5</t>
  </si>
  <si>
    <t>R4 Logistics Costs</t>
  </si>
  <si>
    <t>Transportation costs for moving items necessary for repair</t>
  </si>
  <si>
    <t>EC42</t>
  </si>
  <si>
    <t>Refurbishment Viability</t>
  </si>
  <si>
    <t>Compares costs and profits connected to refurbishment to highlight its economic viability.</t>
  </si>
  <si>
    <t>To identify whether refurbishment is profitable and scalable.</t>
  </si>
  <si>
    <t>EC4-6</t>
  </si>
  <si>
    <t>Refurbishment Profits</t>
  </si>
  <si>
    <t>Profits generated from selling refurbished products.</t>
  </si>
  <si>
    <t>EC421</t>
  </si>
  <si>
    <t>Refurbishment Costs</t>
  </si>
  <si>
    <t>The total expenses associated with restoring a sustainable product to a like-new condition, including costs for repairs, replacement of parts, cleaning, and any upgrades or enhancements made during the refurbishment process.</t>
  </si>
  <si>
    <t>To understand the cost drivers to reduce refurbishment expenses.</t>
  </si>
  <si>
    <t>R5 Material Costs +
R5 Diagnostic Costs +
R5 QA / Testing Costs +
R5 Logistics Costs +
R5 Update Costs</t>
  </si>
  <si>
    <t>EC4-7</t>
  </si>
  <si>
    <t>R5 Material Costs</t>
  </si>
  <si>
    <t>Costs associated with materials necessary for refurbishment.</t>
  </si>
  <si>
    <t>EC4-8</t>
  </si>
  <si>
    <t>R5 Diagnostic Costs</t>
  </si>
  <si>
    <t>Costs associated with problem diagnosis before performing any refurbishment process.</t>
  </si>
  <si>
    <t>EC4-9</t>
  </si>
  <si>
    <t>R5 QA / Testing Costs</t>
  </si>
  <si>
    <t>EC4-10</t>
  </si>
  <si>
    <t>R5 Logistics Costs</t>
  </si>
  <si>
    <t>Transportation costs for moving items necessary for refurbishment.</t>
  </si>
  <si>
    <t>EC4-11</t>
  </si>
  <si>
    <t>R5 Update Costs</t>
  </si>
  <si>
    <t>Costs associated with updates to the refurbished product.</t>
  </si>
  <si>
    <t>EC43</t>
  </si>
  <si>
    <t>Repurpose Viability</t>
  </si>
  <si>
    <t>Compares costs and profits connected to repurposing to highlight its economic viability.</t>
  </si>
  <si>
    <t>To identify whether repurposing is profitable and scalable.</t>
  </si>
  <si>
    <t>EC4-12</t>
  </si>
  <si>
    <t>Repurpose Profit</t>
  </si>
  <si>
    <t>Profits generated by selling (modified) product for an originally unintended use case.</t>
  </si>
  <si>
    <t>EC431</t>
  </si>
  <si>
    <t>Repurpose Costs</t>
  </si>
  <si>
    <t>The total expenses associated with modifying a sustainable product to serve a different function or use than its original design, including costs for labor, materials, and any necessary alterations or enhancements to facilitate the new use.</t>
  </si>
  <si>
    <t>To understand the cost drivers to reduce reporpusing expenses.</t>
  </si>
  <si>
    <t>R7 Modification Costs +
R7 Logistics Costs</t>
  </si>
  <si>
    <t>EC4-13</t>
  </si>
  <si>
    <t>R7 Modification Costs</t>
  </si>
  <si>
    <t>Costs for modifying existing products for a new use.</t>
  </si>
  <si>
    <t>EC4-14</t>
  </si>
  <si>
    <t>R7 Logistics Costs</t>
  </si>
  <si>
    <t>Costs related to transporting or storing repurposed items.</t>
  </si>
  <si>
    <t>EC44</t>
  </si>
  <si>
    <t>Recycling Viability</t>
  </si>
  <si>
    <t>Compares costs and savings connected to recyling to highlight its economic viability.</t>
  </si>
  <si>
    <t>To determine whether recycling is economically sustainable or needs policy support.</t>
  </si>
  <si>
    <t>Ratio = Savings / Costs
(Ratio - Min) / (Max - Min)</t>
  </si>
  <si>
    <t>EC4-15</t>
  </si>
  <si>
    <t>Recycling Savings</t>
  </si>
  <si>
    <t>Savings in material costs made possible by the reuse of recycled materials.</t>
  </si>
  <si>
    <t>EC441</t>
  </si>
  <si>
    <t>Recycle Costs</t>
  </si>
  <si>
    <t>The total expenses associated with the collection, processing, and conversion of a sustainable product or its components into raw materials for reuse, including costs for labor, equipment, transportation, and any fees paid to recycling facilities.</t>
  </si>
  <si>
    <t>To make recycling cost-effective.</t>
  </si>
  <si>
    <t>R8 Processing Costs +
R8 Quality Control Costs +
R8 Logistics Costs</t>
  </si>
  <si>
    <t>EC4-16</t>
  </si>
  <si>
    <t>R8 Processing Costs</t>
  </si>
  <si>
    <t>Costs related to sorting, cleaning, and processing recyclable materials.</t>
  </si>
  <si>
    <t>EC4-17</t>
  </si>
  <si>
    <t>R8 Quality Control Costs</t>
  </si>
  <si>
    <t>EC4-18</t>
  </si>
  <si>
    <t>R8 Logistics Costs</t>
  </si>
  <si>
    <t>Costs of transporting materials to recycling facilities.</t>
  </si>
  <si>
    <t>EC45</t>
  </si>
  <si>
    <t>Recovery Viability</t>
  </si>
  <si>
    <t>Compares costs and savings connected to recovery to highlight its economic viability.</t>
  </si>
  <si>
    <t>To decide whether recovery is sustanable or not.</t>
  </si>
  <si>
    <t>EC4-19</t>
  </si>
  <si>
    <t>Recovery Savings</t>
  </si>
  <si>
    <t>EC451</t>
  </si>
  <si>
    <t>Recovery Costs</t>
  </si>
  <si>
    <t>The total expenses associated with reclaiming valuable materials or components from a product at the end of its life cycle, including costs for dismantling, processing, and any fees incurred during the recovery process.</t>
  </si>
  <si>
    <t>To reduce unit recovery cost to capture more value.</t>
  </si>
  <si>
    <t>R9 Energy Extraction Costs +
R9 Material Extraction Costs +
R9 Infrastructure Costs +
R9 Maintenance Costs</t>
  </si>
  <si>
    <t>EC4-20</t>
  </si>
  <si>
    <t>R9 Energy Extraction Costs</t>
  </si>
  <si>
    <t>Expenses for extracting useful energy from waste.</t>
  </si>
  <si>
    <t>EC4-21</t>
  </si>
  <si>
    <t>R9 Material Extraction Costs</t>
  </si>
  <si>
    <t>Expenses for extracting useful materials from waste.</t>
  </si>
  <si>
    <t>EC4-22</t>
  </si>
  <si>
    <t>R9 Infrastructure Costs</t>
  </si>
  <si>
    <t>Investment in facilities or technology for recovery processes.</t>
  </si>
  <si>
    <t>EC4-23</t>
  </si>
  <si>
    <t>R9 Maintenance Costs</t>
  </si>
  <si>
    <t>Ongoing costs to maintain recovery operations</t>
  </si>
  <si>
    <t>EC46</t>
  </si>
  <si>
    <t>Remanufacturing Viability</t>
  </si>
  <si>
    <t>To determine if manufacturing is profitable and scalable.</t>
  </si>
  <si>
    <t>EC4-24</t>
  </si>
  <si>
    <t>Remanufacturing Profit</t>
  </si>
  <si>
    <t>Profits generated from selling remanufactured products.</t>
  </si>
  <si>
    <t>EC461</t>
  </si>
  <si>
    <t>Remanufacturing Costs</t>
  </si>
  <si>
    <t>The total expenses associated with restoring a sustainable product to a new or better condition, including costs for the inspection, disassembly, testing, repair, cleaning, component replacement and assembly made during the remanufacturing process.</t>
  </si>
  <si>
    <t>To control remanufacturing economics and quality.</t>
  </si>
  <si>
    <t>EC4-25</t>
  </si>
  <si>
    <t>R6 Material Costs</t>
  </si>
  <si>
    <t>Costs associated with materials necessary for remanufacturing.</t>
  </si>
  <si>
    <t>EC4-26</t>
  </si>
  <si>
    <t>R6 Diagnostic Costs</t>
  </si>
  <si>
    <t>Costs associated with problem diagnosis before performing any disassembly process.</t>
  </si>
  <si>
    <t>EC4-27</t>
  </si>
  <si>
    <t>R6 Repair Costs</t>
  </si>
  <si>
    <t>Costs associated with the repair of components from EoL units.</t>
  </si>
  <si>
    <t>EC4-28</t>
  </si>
  <si>
    <t>R6 QA / Testing Costs</t>
  </si>
  <si>
    <t>Costs associated to ensure that the product functions correctly according to standards for new-quality unit.</t>
  </si>
  <si>
    <t>EC4-29</t>
  </si>
  <si>
    <t>R6 Logistics Costs</t>
  </si>
  <si>
    <t>Transportation costs for moving items necessary for remanufacturing.</t>
  </si>
  <si>
    <t>EC4-30</t>
  </si>
  <si>
    <t>R6 Dis-/Assembly Costs</t>
  </si>
  <si>
    <t>Costs associated with the disassembly of components from EoL units and the assembly of remanufactured components into a unit.</t>
  </si>
  <si>
    <t>EC47</t>
  </si>
  <si>
    <t>Circular Material Viability</t>
  </si>
  <si>
    <t>To determine whether current circular product design and production is economically sound or not.</t>
  </si>
  <si>
    <t>Ratio = Non-Virgin / Virgin
(Ratio - Min) / (Max - Min)</t>
  </si>
  <si>
    <t>EC4-31</t>
  </si>
  <si>
    <t>Costs associated with the usage of virgin material for producing the product. It could be the total cost of components made with virgin materials or the raw cost of virgin materials used for producing a functional unit.</t>
  </si>
  <si>
    <t>EC4-32</t>
  </si>
  <si>
    <t>Costs associated with the usage of non-virgin or secondary material for producing the product. It could be the total cost of components made with non-virgin materials or the raw cost of non-virgin materials used for producing a functional unit.</t>
  </si>
  <si>
    <t>Resource Efficiency Score</t>
  </si>
  <si>
    <t>To provide one single metric to prioritize material-saving and circularity actions.</t>
  </si>
  <si>
    <t>Material Efficiency Score</t>
  </si>
  <si>
    <t>To reduce material consumption and increase material reutilization.</t>
  </si>
  <si>
    <t>Sum (weight * R11 + weight * R12)</t>
  </si>
  <si>
    <t>R11</t>
  </si>
  <si>
    <t>Reutilized Material Performance</t>
  </si>
  <si>
    <t>Measures the reutilization of the resource outflow that can be cycled as material of value within or outside the production process.</t>
  </si>
  <si>
    <t>To increase circular resource use and to reduce material waste.</t>
  </si>
  <si>
    <t>R111</t>
  </si>
  <si>
    <t>Reused Byproduct Share</t>
  </si>
  <si>
    <t>Measures the percentage of byproduct which is reused back into the product's lifecycle.</t>
  </si>
  <si>
    <t>To minimize raw material needs and disposal efforts.</t>
  </si>
  <si>
    <t>Reused = Recirculated mass derived from outflow / Total mass of outflow
(Reused - Min) / (Max - Min)</t>
  </si>
  <si>
    <t>R112</t>
  </si>
  <si>
    <t>Repurposed Byproduct Share</t>
  </si>
  <si>
    <t>To create value from outflows and reduce waste.</t>
  </si>
  <si>
    <t>Repurposed = Repurposed mass derived from outflow / Total mass of outflow
(Repurposed - Min) / (Max - Min)</t>
  </si>
  <si>
    <t>R12</t>
  </si>
  <si>
    <t>R121</t>
  </si>
  <si>
    <t>Product Waste Share</t>
  </si>
  <si>
    <t>Measures the amount of waste generated, when the product is disposed.</t>
  </si>
  <si>
    <t>To monitor how much of each product becomes waste and enable circular design improvements.</t>
  </si>
  <si>
    <t>Waste = (Mass of Product Unit - Potential cyclable waste of product unit) / Mass of Product Unit</t>
  </si>
  <si>
    <t>R1-1</t>
  </si>
  <si>
    <t>kg</t>
  </si>
  <si>
    <t>ESRS E5-5</t>
  </si>
  <si>
    <t>R1-2</t>
  </si>
  <si>
    <t>GRI 306-4
ESRS E5-5</t>
  </si>
  <si>
    <t>R1-3</t>
  </si>
  <si>
    <t>R1-4</t>
  </si>
  <si>
    <t>Mass of Product Unit</t>
  </si>
  <si>
    <t>Total weight of a single product unit.</t>
  </si>
  <si>
    <t>5</t>
  </si>
  <si>
    <t>R1-5</t>
  </si>
  <si>
    <t>Reference Product Waste</t>
  </si>
  <si>
    <t>A benchmark waste amount for similar products, used as reference value.</t>
  </si>
  <si>
    <t>R1-6</t>
  </si>
  <si>
    <t>Total potential of reusable, recyclable, repurposable materials from a disposed product unit.</t>
  </si>
  <si>
    <t>Energy Efficiency Score</t>
  </si>
  <si>
    <t>To provide an overview of current energy utilization metrics to prioritize energy-saving and circular energy actions.</t>
  </si>
  <si>
    <t>R21</t>
  </si>
  <si>
    <t>Energy Recovery Performance</t>
  </si>
  <si>
    <t>Measures how performant the energy recovery system of the product pipeline is. It evaluates the amount of energy that can be recovered from the non-circular resource outflow and how much of it is reused back into the product pipeline.</t>
  </si>
  <si>
    <t>To increase circular energy use.</t>
  </si>
  <si>
    <t>Sum (weight * R211 + weight * R212 )</t>
  </si>
  <si>
    <t>R211</t>
  </si>
  <si>
    <t>Reused Energy Share</t>
  </si>
  <si>
    <t>To maximize reuse of energy with the goal of reducing purchased energy.</t>
  </si>
  <si>
    <t>Reuse = Recirculated Energy / Generated Energy
(Reuse - Min) / (Max - Min)</t>
  </si>
  <si>
    <t>ACM+17</t>
  </si>
  <si>
    <t>R212</t>
  </si>
  <si>
    <t>Regeneration of Energy</t>
  </si>
  <si>
    <t>Measures the overall energy generated from the resource outflow of the product's lifecycle.</t>
  </si>
  <si>
    <t>To capture value from outflows and improve energy circularity.</t>
  </si>
  <si>
    <t>Regen = Generated Energy / Potential Energy
(Regen - Min) / (Max - Min)</t>
  </si>
  <si>
    <t>Module D - EN15804+A2</t>
  </si>
  <si>
    <t>R22</t>
  </si>
  <si>
    <t>Energy Intensity Performance</t>
  </si>
  <si>
    <t>Measures the energy consumed per defined output (functional unit) across the product's lifecycle.</t>
  </si>
  <si>
    <t>2</t>
  </si>
  <si>
    <t>Energy Inflow Improvement</t>
  </si>
  <si>
    <t>To track continuous improvement and progress towards energy targets.</t>
  </si>
  <si>
    <t>Reduction = [Total energy inflow] Current / Previous
(Reduction - Min) / (Max - Min)</t>
  </si>
  <si>
    <t>R2-1</t>
  </si>
  <si>
    <t>Total potential energy of outflow</t>
  </si>
  <si>
    <t>The total amount of energy that can be derived from the resource outflow throughout the product's lifecycle. It includes potentials from all forms of resource outflow e.g. heat, waste, etc.</t>
  </si>
  <si>
    <t>kWh</t>
  </si>
  <si>
    <t>R2-2</t>
  </si>
  <si>
    <t>Generated energy derived from outflow</t>
  </si>
  <si>
    <t>The amount of energy actually generated from the resource outflow.</t>
  </si>
  <si>
    <t>R2-3</t>
  </si>
  <si>
    <t>Recirculated energy derived from outflow</t>
  </si>
  <si>
    <t>The amount of energy recirculated back to the product's lifecycle.</t>
  </si>
  <si>
    <t>R2-4</t>
  </si>
  <si>
    <t>The total amount of energy coming into the system's boundary to be used throughout the product's lifecycle.</t>
  </si>
  <si>
    <t>R2-5</t>
  </si>
  <si>
    <t>Total produced units</t>
  </si>
  <si>
    <t>The total number of units produced during the referenced time period.</t>
  </si>
  <si>
    <t>Units</t>
  </si>
  <si>
    <t>R2-6</t>
  </si>
  <si>
    <t>Water Efficiency Score</t>
  </si>
  <si>
    <t>To provide an overview of current water utilization metrics to prioritize water-saving and circular water actions.</t>
  </si>
  <si>
    <t>Sum (weight * R31 + … + weight * R33)</t>
  </si>
  <si>
    <t>R31</t>
  </si>
  <si>
    <t>Water Savings Performance</t>
  </si>
  <si>
    <t>Measures how performant the implemented efficiency measures for water treatment and the reuse of water derived from outflow.</t>
  </si>
  <si>
    <t>To demonstrate effectiveness of water recovery and treatment efforts.</t>
  </si>
  <si>
    <t>Sum (weight * R311 + weight * R312)</t>
  </si>
  <si>
    <t>R311</t>
  </si>
  <si>
    <t>Treated Water Share</t>
  </si>
  <si>
    <t>Measures the share of processed / treated waste water into usable water.</t>
  </si>
  <si>
    <t>To increase the amount of water available for reuse and reduce freshwater consumption.</t>
  </si>
  <si>
    <t>Treated = Treated water from outflow / Total water outflow
(Treated - Min) / (Max - Min)</t>
  </si>
  <si>
    <t>R312</t>
  </si>
  <si>
    <t>Reused Water Share</t>
  </si>
  <si>
    <t>Measures the share of recirculated water back into the processes involved in the product's lifecycle.</t>
  </si>
  <si>
    <t>To improve the capability of current water recirculation efforts.</t>
  </si>
  <si>
    <t>Reused = Recirculated water derived from outflow / Total water outflow
(Reused - Min) / (Max - Min)</t>
  </si>
  <si>
    <t>R32</t>
  </si>
  <si>
    <t>Water Consumption Reduction</t>
  </si>
  <si>
    <t>To track continuous improvement in absolute water use.</t>
  </si>
  <si>
    <t>Reduction = [Total process water consumption] Current / Previous
(Reduction - Min) / (Max - Min)</t>
  </si>
  <si>
    <t>AM+22</t>
  </si>
  <si>
    <t>R33</t>
  </si>
  <si>
    <t>Water Utilization Efficiency</t>
  </si>
  <si>
    <t>Measures the ratio between the inflow of water for consumption and the water waste discharged out of the system's boundary. It evaluates the overall efficiency of the product's water lifecycle.</t>
  </si>
  <si>
    <t>To reduce the amount of water produced as waste water.</t>
  </si>
  <si>
    <t>Ratio = 1 - (Total water discharge / Total process water consumption)
(Ratio - Min) / (Max - Min)</t>
  </si>
  <si>
    <t>R3-1</t>
  </si>
  <si>
    <t>Treated water from outflow</t>
  </si>
  <si>
    <t>The total amount of water outflow that is undergoing treatment to recover its quality up to a certain standard.</t>
  </si>
  <si>
    <t>m3</t>
  </si>
  <si>
    <t>R3-2</t>
  </si>
  <si>
    <t>Total water outflow</t>
  </si>
  <si>
    <t>The total volume of water output throughout the product's lifecycle still within the system's boundaries e.g. resulting water waste from manufacturing.</t>
  </si>
  <si>
    <t>R3-3</t>
  </si>
  <si>
    <t>Recirculated water derived from outflow</t>
  </si>
  <si>
    <t>The total amount of water outflow that is reused or reutilized back as inflow in the product's lifecycle processes.</t>
  </si>
  <si>
    <t>GRI 306-4</t>
  </si>
  <si>
    <t>R3-4</t>
  </si>
  <si>
    <t>Total process water consumption</t>
  </si>
  <si>
    <t>R3-5</t>
  </si>
  <si>
    <t>Total water discharge</t>
  </si>
  <si>
    <t>The total volume of water discharged out of the process' system boundary e.g. waste water discharged into an external water waste management system or lake.</t>
  </si>
  <si>
    <t>EN0</t>
  </si>
  <si>
    <t>Environmental Impact Score</t>
  </si>
  <si>
    <t>Measures the overall environmental impact of a product. It consists of metrics that specifically directly impacts the environments. The score ranges from 0 being damaging for the environment and 1 being the ideal case of an environmental friendly product.</t>
  </si>
  <si>
    <t>To provide one single metric to represent the overall environmental performance.</t>
  </si>
  <si>
    <t>EN1</t>
  </si>
  <si>
    <t>Product Carbon Footprint Score</t>
  </si>
  <si>
    <t>To provide an overview of PCF comparisons in lifecycle phases and across product versions.</t>
  </si>
  <si>
    <t>EN11</t>
  </si>
  <si>
    <t>PCF Industry Performance</t>
  </si>
  <si>
    <t>Measures the PCF performance comparison of a product compared to other comparable product to indicate eco-friendliness in the industry.</t>
  </si>
  <si>
    <t>To position the product competitively on climate impact. To provide a competitive benchmark.</t>
  </si>
  <si>
    <t>Target Value: Min, Max
Industry Value</t>
  </si>
  <si>
    <t>Performance = 1 - Product / Industry
(Performance - Min) / (Max - Min)</t>
  </si>
  <si>
    <t>EN12</t>
  </si>
  <si>
    <t>PCF Version Improvement</t>
  </si>
  <si>
    <t>To ensure continuous product improvement.</t>
  </si>
  <si>
    <t>Target Value: Min, Max
Previous Version Value</t>
  </si>
  <si>
    <t>Improvement = 1 - Current / Previous
(Improvement - Min) / (Max - Min)</t>
  </si>
  <si>
    <t>EN13</t>
  </si>
  <si>
    <t>PCF Reduction Rate</t>
  </si>
  <si>
    <t>To track progress toward climate targets.</t>
  </si>
  <si>
    <t>Target Value: Min, Max
Timeframed</t>
  </si>
  <si>
    <t>Reduction = 1 - Now / PreviousTime
(Reduction - Min) / (Max - Min)</t>
  </si>
  <si>
    <t>ESRS E1-4</t>
  </si>
  <si>
    <t>EN14</t>
  </si>
  <si>
    <t>Lifecycle Phase Emission</t>
  </si>
  <si>
    <t>Measures breakdown of emissions across different stages of the product lifecycle to identify hotspots (i.e., stages with the highest emissions).</t>
  </si>
  <si>
    <t>To reveal where to focus emission reductions based on largest phase share.</t>
  </si>
  <si>
    <t>Target Value: Min, Max (For each phase)</t>
  </si>
  <si>
    <t>Sum (weight * EN131 + … + weight * EN134)</t>
  </si>
  <si>
    <t>EN131</t>
  </si>
  <si>
    <t>Sourcing Emission Ratio</t>
  </si>
  <si>
    <t>Measures the emissions associated with the procurement of raw materials and inputs used in the product.</t>
  </si>
  <si>
    <t>Target Value: Min, Max</t>
  </si>
  <si>
    <t>(Actual - Min) / (Max - Min)</t>
  </si>
  <si>
    <t>EN132</t>
  </si>
  <si>
    <t>Production Emission Ratio</t>
  </si>
  <si>
    <t>EN133</t>
  </si>
  <si>
    <t>Use and Maintenance Emission Ratio</t>
  </si>
  <si>
    <t>Measures the emissions during the operational use and maintenance of the product throughout its useful life.</t>
  </si>
  <si>
    <t>EN134</t>
  </si>
  <si>
    <t>End-of-Life Emission Ratio</t>
  </si>
  <si>
    <t>Measures the emissions associated with the processing and handling of the product when it reaches the end of its life cycle.</t>
  </si>
  <si>
    <t>EN1-1</t>
  </si>
  <si>
    <t>Scope 1 - Direct Emissions</t>
  </si>
  <si>
    <t>Direct emissions from owned/controlled sources (e.g., fuel combustion, company vehicles).</t>
  </si>
  <si>
    <t>EN1-2</t>
  </si>
  <si>
    <t>Scope 2 - Purchased Indirect Emissions</t>
  </si>
  <si>
    <t>Indirect emissions from purchased electricity, heat, or steam.</t>
  </si>
  <si>
    <t>EN1-3</t>
  </si>
  <si>
    <t>Scope 3 - Other Indirect Emissions</t>
  </si>
  <si>
    <t>Other indirect emissions from the value chain (e.g., supply chain, business travel, product use).</t>
  </si>
  <si>
    <t>EN1-4</t>
  </si>
  <si>
    <t>Absolute PCF</t>
  </si>
  <si>
    <t>The total greenhouse gas emissions associated with the product across its lifecycle</t>
  </si>
  <si>
    <t>Sum of 1,2,3 scope emissions</t>
  </si>
  <si>
    <t>EN1-5</t>
  </si>
  <si>
    <t>Comparable Industry PCF</t>
  </si>
  <si>
    <t>EN2</t>
  </si>
  <si>
    <t>Sustainable Resource Consumption Score</t>
  </si>
  <si>
    <t>Measures the overall sustainability of energy and water consumption throughout the product's lifecycle. It focuses on the consumption of renewable and reused resources.</t>
  </si>
  <si>
    <t>To reduce non-renewable resource use and water withdrawal.</t>
  </si>
  <si>
    <t>Sum (weight * EN21 + weight * EN22)</t>
  </si>
  <si>
    <t>EN21</t>
  </si>
  <si>
    <t>Renewable Energy Utilization Rate</t>
  </si>
  <si>
    <t>Measures the proportion of renewable energy used throughout the product's life cycle.</t>
  </si>
  <si>
    <t>To reduce dependency on fossil energy and support net-zero targets.</t>
  </si>
  <si>
    <t>Target Value: Min, Max
Industry Average</t>
  </si>
  <si>
    <t>Utilization = renewable / total used
(Utilization - Min) / (Max - Min)</t>
  </si>
  <si>
    <t>SASB RT-CP-130a.1</t>
  </si>
  <si>
    <t>EN22</t>
  </si>
  <si>
    <t>Secondary Water Utilization Rate</t>
  </si>
  <si>
    <t>Measures the proportion of secondary water used throughout the product's life cycle.</t>
  </si>
  <si>
    <t>To reduce freshwater withdrawal.</t>
  </si>
  <si>
    <t>Utilization = secondary / total used
(Utilization - Min) / (Max - Min)</t>
  </si>
  <si>
    <t>EN2-1</t>
  </si>
  <si>
    <t>Energy consumption from renewable sources</t>
  </si>
  <si>
    <t>Total trackable renewable energy used throughout the product's lifecycle.</t>
  </si>
  <si>
    <t>EN2-2</t>
  </si>
  <si>
    <t>Total energy used</t>
  </si>
  <si>
    <t>Total energy consumed throughout the product's lifecycle.</t>
  </si>
  <si>
    <t>EN2-3</t>
  </si>
  <si>
    <t>EN2-4</t>
  </si>
  <si>
    <t>Total water consumption throughout the product's lifecycle.</t>
  </si>
  <si>
    <t>EN3</t>
  </si>
  <si>
    <t>Hazardous Material &amp; Waste Management Score</t>
  </si>
  <si>
    <t>To reduce toxic material usage and hazardous waste generation. To ensure safe handling of resources.</t>
  </si>
  <si>
    <t>Sum (weight * EN31 + weight * EN32)</t>
  </si>
  <si>
    <t>EN31</t>
  </si>
  <si>
    <t>Hazardous Waste Minimization Rate</t>
  </si>
  <si>
    <t>To track progress for lowering the generation of hazardous waste.</t>
  </si>
  <si>
    <t>Target Value: Min, Max
Value to a given value in time</t>
  </si>
  <si>
    <t>Minimization = (PreviousTime - Actual) / PreviousTime
(Minimization - Min) / (Max - Min)</t>
  </si>
  <si>
    <t>EN32</t>
  </si>
  <si>
    <t>Hazardous Material Share</t>
  </si>
  <si>
    <t>To reduce the presence of hazardous substances by material substitution and other alternatives.</t>
  </si>
  <si>
    <t>1 - (Hazardous Material / Total Material)</t>
  </si>
  <si>
    <t>EN3-1</t>
  </si>
  <si>
    <t>Amount of hazardous waste</t>
  </si>
  <si>
    <t>Total mass of hazardous waste produced throughout the product's lifecycle.</t>
  </si>
  <si>
    <t>EN3-2</t>
  </si>
  <si>
    <t>Amount of hazardous materials</t>
  </si>
  <si>
    <t>Total mass of hazardous material used throughout the product's lifecycle.</t>
  </si>
  <si>
    <t>EN3-3</t>
  </si>
  <si>
    <t>Total materials used</t>
  </si>
  <si>
    <t>Total mass of materials used throughout the product's lifecycle.</t>
  </si>
  <si>
    <t>EN4</t>
  </si>
  <si>
    <t>Water Footprint Score</t>
  </si>
  <si>
    <t>To provide a view for comparing and tracking water performance across the product's lifecycle.</t>
  </si>
  <si>
    <t>EN41</t>
  </si>
  <si>
    <t>Water Footprint Intensity</t>
  </si>
  <si>
    <t>To benchmark operational efficiency.</t>
  </si>
  <si>
    <t>EN42</t>
  </si>
  <si>
    <t>Water Footprint Reduction</t>
  </si>
  <si>
    <t>Measures the percentage reduction in total water use compared to a previous time.</t>
  </si>
  <si>
    <t>To track progress for lowering the water footprint.</t>
  </si>
  <si>
    <t>Reduction = (PreviousTime - Now) / PreviousTime
(Reduction - Min) / (Max - Min)</t>
  </si>
  <si>
    <t>EN43</t>
  </si>
  <si>
    <t>EN44</t>
  </si>
  <si>
    <t>Lifecycle Water Footprint Ratio</t>
  </si>
  <si>
    <t>To identify where to focus water reduction efforts.</t>
  </si>
  <si>
    <t>Avg (Stage Water Footprint)</t>
  </si>
  <si>
    <t>EN441</t>
  </si>
  <si>
    <t>Sourcing Water Footprint Ratio</t>
  </si>
  <si>
    <t>Measures the water footprint associated with the procurement of raw materials and inputs used in the product.</t>
  </si>
  <si>
    <t>EN442</t>
  </si>
  <si>
    <t>Production Water Footprint Ratio</t>
  </si>
  <si>
    <t>EN443</t>
  </si>
  <si>
    <t>Use and Maintenance Water Footprint Ratio</t>
  </si>
  <si>
    <t>Measures the water footprint during the operational use and maintenance of the product throughout its useful life.</t>
  </si>
  <si>
    <t>EN444</t>
  </si>
  <si>
    <t>End-of-Life Water Footprint Ratio</t>
  </si>
  <si>
    <t>Measures the water footprint associated with the processing and handling of the product when it reaches the end of its life cycle.</t>
  </si>
  <si>
    <t>EN4-1</t>
  </si>
  <si>
    <t>Blue Water Footprint</t>
  </si>
  <si>
    <t>Volume of freshwater withdrawn from surface or groundwater resources.</t>
  </si>
  <si>
    <t>waterfootprintnetwork
TF+25</t>
  </si>
  <si>
    <t>EN4-2</t>
  </si>
  <si>
    <t>Green Water Footprint</t>
  </si>
  <si>
    <t>Volume of rainwater consumed (stored in soil or vegetation) during a product's lifecycle.</t>
  </si>
  <si>
    <t>EN4-3</t>
  </si>
  <si>
    <t>Volume of water required to dilute pollutants to meet water quality standards.</t>
  </si>
  <si>
    <t>EN4-4</t>
  </si>
  <si>
    <t>Absolute Water Footprint</t>
  </si>
  <si>
    <t>The total water footprint associated with the product across its lifecycle</t>
  </si>
  <si>
    <t>EN5</t>
  </si>
  <si>
    <t>Biodiversity Impact Score</t>
  </si>
  <si>
    <t>Measures the product's impact on local ecosystems and biodiversity.</t>
  </si>
  <si>
    <t>To give an overview of how the product affects the ecology and biodiversity around it's production area.</t>
  </si>
  <si>
    <t>Impact = Quality Change * Land Use per FU
(Impact - Min) / (Max - Min)</t>
  </si>
  <si>
    <t>JQ+25
JPL+19</t>
  </si>
  <si>
    <t>EN5-1</t>
  </si>
  <si>
    <t>Land Quality Change</t>
  </si>
  <si>
    <t>Measures the difference in ecological quality (or "naturalness") of land before and after it is used for a specific purpose.</t>
  </si>
  <si>
    <t>BVI</t>
  </si>
  <si>
    <t>EN5-2</t>
  </si>
  <si>
    <t>Land Use per Functional Unit</t>
  </si>
  <si>
    <t>Measures the amount of land used involved in manufacturing the product</t>
  </si>
  <si>
    <t>m2a / FU</t>
  </si>
  <si>
    <t>C0</t>
  </si>
  <si>
    <t>Circular Efforts Score</t>
  </si>
  <si>
    <t>To provide a view of current circular initiatives and locate potential improvement points.</t>
  </si>
  <si>
    <t>C1</t>
  </si>
  <si>
    <t>Reclamation Efficiency</t>
  </si>
  <si>
    <t>To assess the effectiveness of the reclamation method / program.</t>
  </si>
  <si>
    <t>Sum (weight * C11 + … + weight * C13)</t>
  </si>
  <si>
    <t>C11</t>
  </si>
  <si>
    <t>Reclaimed Packaging Rate</t>
  </si>
  <si>
    <t>To reduce virgin packaging use and remove potential waste.</t>
  </si>
  <si>
    <t>GRI 301-3</t>
  </si>
  <si>
    <t>C12</t>
  </si>
  <si>
    <t>End-of-Life Product Reclamation Rate</t>
  </si>
  <si>
    <t>To increase product take-back rates. Ensure materials and components re-enter the value chain.</t>
  </si>
  <si>
    <t>Reclaimed = Number of reclaimed product / Number of units sold
(Reclaimed - Min) / (Max - Min)</t>
  </si>
  <si>
    <t>GRI 301-3
FE+16</t>
  </si>
  <si>
    <t>C13</t>
  </si>
  <si>
    <t>Recovery Yield of Reclaimed Products</t>
  </si>
  <si>
    <t>To assess the overall quality of product components at its EoL and to improve current recovery pipeline.</t>
  </si>
  <si>
    <t>C1-1</t>
  </si>
  <si>
    <t>Number of Units Sold</t>
  </si>
  <si>
    <t>Total number of units sold to customers.</t>
  </si>
  <si>
    <t>C1-2</t>
  </si>
  <si>
    <t>Amount of Reclaimed Units</t>
  </si>
  <si>
    <t>Total number of units reclaimed from their EoL.</t>
  </si>
  <si>
    <t>C1-3</t>
  </si>
  <si>
    <t>Total amount of packaging of unit reclaimed after the purchase.</t>
  </si>
  <si>
    <t>C1-4</t>
  </si>
  <si>
    <t>Total weight of packaging materials sold to customer.</t>
  </si>
  <si>
    <t>C1-5</t>
  </si>
  <si>
    <t>Total weight of units reclaimed from their EoL.</t>
  </si>
  <si>
    <t>C1-6</t>
  </si>
  <si>
    <t>C2</t>
  </si>
  <si>
    <t>Process Quality and Performance</t>
  </si>
  <si>
    <t>To provide a view of all circular processes for potential improvements.</t>
  </si>
  <si>
    <t>C2C 5.3
ESRS E5-2</t>
  </si>
  <si>
    <t>C21</t>
  </si>
  <si>
    <t>Refurbishment Process Performance</t>
  </si>
  <si>
    <t>Measures the overall effectiveness of the refurbishment processes, focusing on the ability to restore products to a saleable condition.</t>
  </si>
  <si>
    <t>To provide a view of refurbishment processes for potential improvements.</t>
  </si>
  <si>
    <t>Sum (weight * C211 + … + weight * C213)</t>
  </si>
  <si>
    <t>FAC+21</t>
  </si>
  <si>
    <t>C211</t>
  </si>
  <si>
    <t>Refurbishment Success Rate</t>
  </si>
  <si>
    <t>Measures the rate at which products that pass the refurbishment process. Ideally all incoming products should pass the refurbishment process, not all units can be restored to a sellable or usable condition due to varying issues.</t>
  </si>
  <si>
    <t>To monitor and increase the yield of refurbishment pipeline.</t>
  </si>
  <si>
    <t>Success = Number of successful refurbished products / Number of processed products intake for refurbishment
(Success - Min) / (Max - Min)</t>
  </si>
  <si>
    <t>C212</t>
  </si>
  <si>
    <t>Quality of Refurbished Products</t>
  </si>
  <si>
    <t>Measures the test performance of refurbished products against new products. Depends highly on its testing standards. Applicable to companies with an established testing process. Ideally achieves the same or better test results as new-products.</t>
  </si>
  <si>
    <t>To ensure products meet company standards and warranty targets.</t>
  </si>
  <si>
    <t>Quality = Avg(test results of refurbished) / Avg(test results of new-products)
(Quality - Min) / (Max - Min)</t>
  </si>
  <si>
    <t>NB+20</t>
  </si>
  <si>
    <t>C213</t>
  </si>
  <si>
    <t>Timeliness of Refurbishment</t>
  </si>
  <si>
    <t>Measures the time taken to produce one unit of product from start to finish compared to planned time.</t>
  </si>
  <si>
    <t>To reduce cycle times and improve time-to-resale.</t>
  </si>
  <si>
    <t>(Avg (Refurbishment Process Times) - Min) / (Max - Min)</t>
  </si>
  <si>
    <t>C2-1</t>
  </si>
  <si>
    <t>Number of Units assigned for Refurbishment</t>
  </si>
  <si>
    <t>Number of units put into the refurbishment process.</t>
  </si>
  <si>
    <t>C2-2</t>
  </si>
  <si>
    <t>Number of Successful Refurbished Units</t>
  </si>
  <si>
    <t>Number of units passing the refurbishment quality check.</t>
  </si>
  <si>
    <t>C2-3</t>
  </si>
  <si>
    <t>Test Result of Refurbished Units</t>
  </si>
  <si>
    <t>The result of refurbished units after undergoing performance and quality testing.</t>
  </si>
  <si>
    <t>-</t>
  </si>
  <si>
    <t>C2-4</t>
  </si>
  <si>
    <t>Test Result of New Units</t>
  </si>
  <si>
    <t>The result of new units after undergoing performance and quality testing.</t>
  </si>
  <si>
    <t>C2-5</t>
  </si>
  <si>
    <t>Refurbishment Process Time</t>
  </si>
  <si>
    <t>Time taken to finish the refurbishment of a unit.</t>
  </si>
  <si>
    <t>C22</t>
  </si>
  <si>
    <t>Repair Process Performance</t>
  </si>
  <si>
    <t>Measures the efficiency and effectiveness of repair operations of the product.</t>
  </si>
  <si>
    <t xml:space="preserve">To provide a view to prioritize improvements in repair quality, speed and longevity. </t>
  </si>
  <si>
    <t>Sum (weight * C221 + … + weight * C223)</t>
  </si>
  <si>
    <t>C221</t>
  </si>
  <si>
    <t>Repair Success Rate</t>
  </si>
  <si>
    <t>Measures the rate at which products that pass the repair process. Ideally all incoming products should pass the repair process. Gives overall overview on the effectiveness of current repair processes.</t>
  </si>
  <si>
    <t>To monitor and increase the yield of repair pipeline and reduce repair iteration.</t>
  </si>
  <si>
    <t>Success = Number of Successful Repaired Units / Number of Units assigned for Repair
(Success - Min) / (Max - Min)</t>
  </si>
  <si>
    <t>C222</t>
  </si>
  <si>
    <t>Longevity of repaired product</t>
  </si>
  <si>
    <t>Measures the additional lifespan a product achieves after undergoing repairs. It assesses how effectively repairs can prolong the usability of products.</t>
  </si>
  <si>
    <t>To ensure repairs restore lasting value and minimize repeating repairs / warranty costs.</t>
  </si>
  <si>
    <t>Longevity = Lifespan of Repaired Units / Original Lifespan of Units
(Longevity - Min) / (Max - Min)</t>
  </si>
  <si>
    <t>ISO 59020
ESRS E5-5
SRS+20
RE+20
FE+16</t>
  </si>
  <si>
    <t>C223</t>
  </si>
  <si>
    <t>Timeliness of Repair</t>
  </si>
  <si>
    <t>Measures the punctuality of repaired products.</t>
  </si>
  <si>
    <t>To reduce customer waiting time and improve throughput.</t>
  </si>
  <si>
    <t>(Avg (Repair Process Times) - Min) / (Max - Min)</t>
  </si>
  <si>
    <t>C2-6</t>
  </si>
  <si>
    <t>Number of units put into the repairment process.</t>
  </si>
  <si>
    <t>C2-7</t>
  </si>
  <si>
    <t>Number of units passing the repair quality check.</t>
  </si>
  <si>
    <t>C2-8</t>
  </si>
  <si>
    <t>Lifespan of Repaired Units</t>
  </si>
  <si>
    <t>The duration for which a product remains functional and usable after it has been repaired.</t>
  </si>
  <si>
    <t>years</t>
  </si>
  <si>
    <t>RE+20
FE+16</t>
  </si>
  <si>
    <t>C2-9</t>
  </si>
  <si>
    <t>Original Lifespan of Units</t>
  </si>
  <si>
    <t>The estimated or documented time period for which a product remains functional after purchase.</t>
  </si>
  <si>
    <t>C2-10</t>
  </si>
  <si>
    <t>Repair Process Time</t>
  </si>
  <si>
    <t>Time taken to finish the repairment of a unit.</t>
  </si>
  <si>
    <t>C23</t>
  </si>
  <si>
    <t>Remanufacturing Process Performance</t>
  </si>
  <si>
    <t>To provide a view of remanufacturing quality, circularity, and value recovery to guide pipeline improvements.</t>
  </si>
  <si>
    <t>C231</t>
  </si>
  <si>
    <t>Remanufactured Component Share</t>
  </si>
  <si>
    <t>To increase circular material use and reduce reliance on new components.</t>
  </si>
  <si>
    <t>C232</t>
  </si>
  <si>
    <t>Measures the ratio of successfully restored components and the inflow of EoL components set for restoration.</t>
  </si>
  <si>
    <t>To ensure restoration process effectiveness and maximize reuse of secondary components.</t>
  </si>
  <si>
    <t>C2-11</t>
  </si>
  <si>
    <t>C2-12</t>
  </si>
  <si>
    <t>Total secondary components inflow</t>
  </si>
  <si>
    <t>The total components set for quality restoration to the new product standard.</t>
  </si>
  <si>
    <t>C2-13</t>
  </si>
  <si>
    <t>Total components remanufactured</t>
  </si>
  <si>
    <t>C3</t>
  </si>
  <si>
    <t>Design for Circularity</t>
  </si>
  <si>
    <t xml:space="preserve">To guide decisions to maximize circularity in the product design. </t>
  </si>
  <si>
    <t>Sum (weight * C31 + … + weight * C34)</t>
  </si>
  <si>
    <t>CS+16</t>
  </si>
  <si>
    <t>C31</t>
  </si>
  <si>
    <t>Recyclability of Materials</t>
  </si>
  <si>
    <t>Measures the share of materials that can be recycled after disassembly.</t>
  </si>
  <si>
    <t>Recyclability = Recyclable Material Weight / Total Product Weight
(Recyclability - Min) / (Max - Min)</t>
  </si>
  <si>
    <t>C32</t>
  </si>
  <si>
    <t>C33</t>
  </si>
  <si>
    <t>Repurposing of Components</t>
  </si>
  <si>
    <t>Measures the share of components that can be repurposed into other uses. A repurposing pipeline needs to exist.</t>
  </si>
  <si>
    <t>To enable new value streams and reduce waste through repurposing.</t>
  </si>
  <si>
    <t>Repurposability = Repurposable Component Weight / Total Product Weight
(Repurposability - Min) / (Max - Min)</t>
  </si>
  <si>
    <t>WS+24</t>
  </si>
  <si>
    <t>C34</t>
  </si>
  <si>
    <t>Ease of Disassembly</t>
  </si>
  <si>
    <t>To reduce labor and time at disassembly and enable higher recovery rates. To simplify and improve separation efforts.</t>
  </si>
  <si>
    <t>Sum (weight * C3-5 + weight * C3-6)</t>
  </si>
  <si>
    <t>C3-1</t>
  </si>
  <si>
    <t>Total Product Weight</t>
  </si>
  <si>
    <t>Total weight of a product unit.</t>
  </si>
  <si>
    <t>C3-2</t>
  </si>
  <si>
    <t>Recyclable Material Weight</t>
  </si>
  <si>
    <t>Total weight of the recyclable material in the product. Adhering to ISO 14021 specifications.</t>
  </si>
  <si>
    <t>ISO 14021
RE+20</t>
  </si>
  <si>
    <t>C3-3</t>
  </si>
  <si>
    <t>C3-4</t>
  </si>
  <si>
    <t>Repurposable Component Weight</t>
  </si>
  <si>
    <t>Total weight of repurposable components in the product's design.</t>
  </si>
  <si>
    <t>C3-5</t>
  </si>
  <si>
    <t>Instructions Availability</t>
  </si>
  <si>
    <t>User Feedback</t>
  </si>
  <si>
    <t>C3-6</t>
  </si>
  <si>
    <t>Disassembly Time</t>
  </si>
  <si>
    <t>(Time - Min) / (Max - Min)</t>
  </si>
  <si>
    <t>MM+17</t>
  </si>
  <si>
    <t>C4</t>
  </si>
  <si>
    <t>Circular Flow Index</t>
  </si>
  <si>
    <t>To reduce the proportion of virgin material to unrecoverable waste, which improves circularity.</t>
  </si>
  <si>
    <t>C4-1</t>
  </si>
  <si>
    <t>Virgin Material Inflow</t>
  </si>
  <si>
    <t>Total amount of raw materials going in to the process. It includes all materials NOT processed from secondary materials.</t>
  </si>
  <si>
    <t>C4-2</t>
  </si>
  <si>
    <t>C4-3</t>
  </si>
  <si>
    <t>Total Mass Flow</t>
  </si>
  <si>
    <t>Total amount of mass involved in the process either going in OR going out of the system in a closed loop system.</t>
  </si>
  <si>
    <t>S0</t>
  </si>
  <si>
    <t>Social Impact Score</t>
  </si>
  <si>
    <t>To provide a single metric to evaluate the social effect of the product.</t>
  </si>
  <si>
    <t>Sum (weight * S1 + … + weight * S3)</t>
  </si>
  <si>
    <t>S1</t>
  </si>
  <si>
    <t>Sourcing and Procurement</t>
  </si>
  <si>
    <t>Measures the social and ethical impacts of the product's procurement processes. Focuses on ensuring that sourcing practices align with ethical fair trade principles and promotes local contribution.</t>
  </si>
  <si>
    <t>To ensure procurement aligns with ethical standards and local socio-economic goals.</t>
  </si>
  <si>
    <t>Sum (weight * S11 +weight * S12)</t>
  </si>
  <si>
    <t>S11</t>
  </si>
  <si>
    <t>Certified Ethical Supplier Share</t>
  </si>
  <si>
    <t>To reduce labor and human-rights risks across the supply chain.</t>
  </si>
  <si>
    <t>Share = Number of certified ethical suppliers / Number of total suppliers
(Share - Min) / (Max - Min)</t>
  </si>
  <si>
    <t>S12</t>
  </si>
  <si>
    <t>Local Sourcing Share</t>
  </si>
  <si>
    <t>Measures the share of local sourcing suppliers from the overall suppliers.</t>
  </si>
  <si>
    <t>To support local economy, reduce transport, and improve local involvement.</t>
  </si>
  <si>
    <t>Share = Number of local suppliers / Number of total suppliers
(Share - Min) / (Max - Min)</t>
  </si>
  <si>
    <t>S1-1</t>
  </si>
  <si>
    <t>Number of Total Suppliers</t>
  </si>
  <si>
    <t>Number of suppliers for sourcing and procurement involved throughout the whole product's lifecycle.</t>
  </si>
  <si>
    <t>S1-2</t>
  </si>
  <si>
    <t>Number of Certified Ethical Suppliers</t>
  </si>
  <si>
    <t>S1-3</t>
  </si>
  <si>
    <t>Number of Local Suppliers</t>
  </si>
  <si>
    <t>S2</t>
  </si>
  <si>
    <t>To guide product design, support, and safety improvement.</t>
  </si>
  <si>
    <t>Sum (weight * S21 + … + weight * S24)</t>
  </si>
  <si>
    <t>S21</t>
  </si>
  <si>
    <t>Customer Satisfaction Score</t>
  </si>
  <si>
    <t>To monitor customer's product perception and guide product and service improvement.</t>
  </si>
  <si>
    <t>Avg = Customer Feedback Results / Number of Surveyee
(Avg - Min) / (Max - Min)</t>
  </si>
  <si>
    <t>S22</t>
  </si>
  <si>
    <t>Customer Health and Safety</t>
  </si>
  <si>
    <t>To minimize harm and accident risk.</t>
  </si>
  <si>
    <t>1 - (Reported Customer Incidents / Number of Customers)</t>
  </si>
  <si>
    <t>S2-1</t>
  </si>
  <si>
    <t>Customer Feedback Results</t>
  </si>
  <si>
    <t>Customer feedback results.</t>
  </si>
  <si>
    <t>S2-2</t>
  </si>
  <si>
    <t>Number of Surveyee</t>
  </si>
  <si>
    <t>The total number of survey respondents in a given timeframe.</t>
  </si>
  <si>
    <t>S2-3</t>
  </si>
  <si>
    <t>Number of Customers</t>
  </si>
  <si>
    <t>The total number of customers in a given timeframe.</t>
  </si>
  <si>
    <t>S2-4</t>
  </si>
  <si>
    <t>Reported Customer Incidents</t>
  </si>
  <si>
    <t>Total customer safety incidents related to the use of the product.</t>
  </si>
  <si>
    <t>S23</t>
  </si>
  <si>
    <t>Customer Service Timeliness</t>
  </si>
  <si>
    <t>Measures the response times of customer inquiries and compared with its target value.</t>
  </si>
  <si>
    <t>Avg = Response Times / Number of Inquiries
(Avg - Min) / (Max - Min)</t>
  </si>
  <si>
    <t>S24</t>
  </si>
  <si>
    <t>Customer Service Satisfaction Score</t>
  </si>
  <si>
    <t>To ensure high quality support and strengthen customer loyalty.</t>
  </si>
  <si>
    <t>Avg = Service Feedback Results / Number of Inquiries
(Avg - Min) / (Max - Min)</t>
  </si>
  <si>
    <t>S2-5</t>
  </si>
  <si>
    <t>Response Times</t>
  </si>
  <si>
    <t>The time taken to respond to customer inquiries and complaints.</t>
  </si>
  <si>
    <t>time</t>
  </si>
  <si>
    <t>S2-6</t>
  </si>
  <si>
    <t>Number of Inquiries</t>
  </si>
  <si>
    <t>S2-7</t>
  </si>
  <si>
    <t>Service Feedback Results</t>
  </si>
  <si>
    <t>The feedback score or ratings for the response given to customers.</t>
  </si>
  <si>
    <t>S3</t>
  </si>
  <si>
    <t>Workforce Welfare</t>
  </si>
  <si>
    <t>To monitor the social performance for workforce related issues.</t>
  </si>
  <si>
    <t>Sum (weight * S31 + … + weight * S33)</t>
  </si>
  <si>
    <t>S31</t>
  </si>
  <si>
    <t>Employment Satisfaction Score</t>
  </si>
  <si>
    <t>To improve retention, productivity, and product quality.</t>
  </si>
  <si>
    <t>Avg = Employee Feedback Results / Total Employee
(Avg - Min) / (Max - Min)</t>
  </si>
  <si>
    <t>S32</t>
  </si>
  <si>
    <t>Local Employment Rate</t>
  </si>
  <si>
    <t>Measures the share of employees hired from local communities to support local economies.</t>
  </si>
  <si>
    <t>To strengthen local socio-economic benefits.</t>
  </si>
  <si>
    <t>Rate = Number of local employee / Total employee
(Rate - Min) / (Max - Min)</t>
  </si>
  <si>
    <t>S33</t>
  </si>
  <si>
    <t>Employee Health and Safety</t>
  </si>
  <si>
    <t>Measures the well-being of employees, particularly in the context of manufacturing and production environments.</t>
  </si>
  <si>
    <t xml:space="preserve">To reduce harm, accident risk, and absenteeism. </t>
  </si>
  <si>
    <t>1 - (Safety Incident Rate / Total employee)</t>
  </si>
  <si>
    <t>S3-1</t>
  </si>
  <si>
    <t>Employee Feedback Results</t>
  </si>
  <si>
    <t>S3-2</t>
  </si>
  <si>
    <t>Total Employee</t>
  </si>
  <si>
    <t>The total amount of employee directly involved in the product.</t>
  </si>
  <si>
    <t>S3-3</t>
  </si>
  <si>
    <t>Number of Local Employee</t>
  </si>
  <si>
    <t>The total local residents employed involved in the product.</t>
  </si>
  <si>
    <t>S3-4</t>
  </si>
  <si>
    <t>Reported Workplace Incident</t>
  </si>
  <si>
    <t>Number of workplace safety incidents per employee, aimed at minimizing risks.</t>
  </si>
  <si>
    <t>Job Creation</t>
  </si>
  <si>
    <t>Title</t>
  </si>
  <si>
    <t>Label</t>
  </si>
  <si>
    <t>Type</t>
  </si>
  <si>
    <t>Link</t>
  </si>
  <si>
    <t>Sustainability Accounting Standards Board</t>
  </si>
  <si>
    <t/>
  </si>
  <si>
    <t>Industry Standard</t>
  </si>
  <si>
    <t>https://www.ifrs.org/issued-standards/sasb-standards/</t>
  </si>
  <si>
    <t>An extension for applying IFRS information disclosure. Until now, only &lt;10 industries relevant to project partners are selected.</t>
  </si>
  <si>
    <t>Global Reporting Initiative</t>
  </si>
  <si>
    <t/>
  </si>
  <si>
    <t>https://www.globalreporting.org/how-to-use-the-gri-standards/gri-standards-english-language/</t>
  </si>
  <si>
    <t>A set of 42 files, ranging from specific materials to social aspects.</t>
  </si>
  <si>
    <t>Sustainability of construction works - Environmental product declarations - Core rules for the product category of construction products</t>
  </si>
  <si>
    <t>European standard that provides a framework for the assessment of the environmental performance of construction products. It specifies the principles and requirements for the development of Environmental Product Declarations (EPDs) for construction products, ensuring consistency and transparency in the reporting of their environmental impacts throughout their life cycle.</t>
  </si>
  <si>
    <t>EN 15804</t>
  </si>
  <si>
    <t>https://www.din.de/en/getting-involved/standards-committees/nabau/publications/wdc-beuth:din21:344735627</t>
  </si>
  <si>
    <t>We focus on the 15804+A2 Update of module D.</t>
  </si>
  <si>
    <t>C2C Certification Framework</t>
  </si>
  <si>
    <t/>
  </si>
  <si>
    <t>C2C</t>
  </si>
  <si>
    <t>https://c2ccertified.org/the-standard</t>
  </si>
  <si>
    <t>Most research paper mentions the 2016 version, but there are currently no direct link to that version. Here we roughly refer to the C2C standard from all version, until 4.1</t>
  </si>
  <si>
    <t>Design of Indicators for Measuring Product Performance in the Circular Economy</t>
  </si>
  <si>
    <t/>
  </si>
  <si>
    <t>Research Paper</t>
  </si>
  <si>
    <t>Provides a list of binary metrics with weights to consider the overall performance.</t>
  </si>
  <si>
    <t>Proposing an integrated indicator to measure product repairability</t>
  </si>
  <si>
    <t/>
  </si>
  <si>
    <t>RM+23</t>
  </si>
  <si>
    <t>https://doi.org/10.1016/j.jclepro.2023.136434</t>
  </si>
  <si>
    <t>5 parameters on the product's repairability indicator are taken as inspiration for the "Design of Disassembly" indicator. Referenced info focuses on exact products e.g. with screws, tools, etc.</t>
  </si>
  <si>
    <t>A dataset of characterization factors for biodiversity impact assessment in OpenLCA and LCA for experts</t>
  </si>
  <si>
    <t/>
  </si>
  <si>
    <t>JQ+25</t>
  </si>
  <si>
    <t>https://doi.org/10.1016/j.dib.2025.111496</t>
  </si>
  <si>
    <t>Provides the dataset for biodiversity impact values.</t>
  </si>
  <si>
    <t xml:space="preserve">Valuing Biodiversity in Life Cycle Impact Assessment </t>
  </si>
  <si>
    <t/>
  </si>
  <si>
    <t>JPL+19</t>
  </si>
  <si>
    <t>https://doi.org/10.3390/su11205628</t>
  </si>
  <si>
    <t>As the base definition for biodiversity value.</t>
  </si>
  <si>
    <t>A strategic measurement framework to monitor and evaluate circularity performance in organizations from a transition perspective</t>
  </si>
  <si>
    <t/>
  </si>
  <si>
    <t>https://doi.org/10.1016/j.spc.2021.02.017</t>
  </si>
  <si>
    <t>.</t>
  </si>
  <si>
    <t>Indicators to Measure Efficiency in Circular Economies</t>
  </si>
  <si>
    <t/>
  </si>
  <si>
    <t>SRS+20</t>
  </si>
  <si>
    <t>https://doi.org/10.3390/su12114483</t>
  </si>
  <si>
    <t>Ease of disassembly of products to support circular economy strategies</t>
  </si>
  <si>
    <t/>
  </si>
  <si>
    <t>VP+18</t>
  </si>
  <si>
    <t>https://doi.org/10.1016/j.jclepro.2019.119137</t>
  </si>
  <si>
    <t>What Do We Know About Metal Recycling Rates?</t>
  </si>
  <si>
    <t/>
  </si>
  <si>
    <t>GTE+11</t>
  </si>
  <si>
    <t>https://doi.org/10.1111/j.1530-9290.2011.00342.x</t>
  </si>
  <si>
    <t>Circular economy indicators for organizations considering sustainability and business models: Plastic, textile and electro-electronic cases</t>
  </si>
  <si>
    <t/>
  </si>
  <si>
    <t>Resource duration as a managerial indicator for Circular Economy performance</t>
  </si>
  <si>
    <t/>
  </si>
  <si>
    <t>FE+16</t>
  </si>
  <si>
    <t>https://doi.org/10.1016/j.jclepro.2016.05.023</t>
  </si>
  <si>
    <t>Provides several metrics to assess the longevity of a product.</t>
  </si>
  <si>
    <t>Developing a Reparability Indicator for Electronic Products</t>
  </si>
  <si>
    <t/>
  </si>
  <si>
    <t>FB+16</t>
  </si>
  <si>
    <t>https://doi.org/10.1109/EGG.2016.7829855</t>
  </si>
  <si>
    <t>Survey driven, lists out several important criterias regarding repair. One of which is "Repair manual available".</t>
  </si>
  <si>
    <t>Design Aspects in Repairability Scoring Systems: Comparing Their Objectivity and Completeness</t>
  </si>
  <si>
    <t/>
  </si>
  <si>
    <t>DS+22</t>
  </si>
  <si>
    <t>https://doi.org/10.3390/su14148634</t>
  </si>
  <si>
    <t>A Repurposable Attribute Basis for Identifying Repurposing Opportunities in Decommissioned Products</t>
  </si>
  <si>
    <t/>
  </si>
  <si>
    <t>https://doi.org/10.1115/1.4066127</t>
  </si>
  <si>
    <t>Gives guidelines and pointers to identify repurposable components and materials in a product.</t>
  </si>
  <si>
    <t>An approach to measuring circularity
Published 2015, adapted in 2019</t>
  </si>
  <si>
    <t/>
  </si>
  <si>
    <t>MCI+25</t>
  </si>
  <si>
    <t>The base of many circularity KPI. Divided into product and company levels.</t>
  </si>
  <si>
    <t>Incentive alignment of brand-owner and remanufacturer towards quality certification to refurbished products</t>
  </si>
  <si>
    <t/>
  </si>
  <si>
    <t>https://doi.org/10.1016/j.jclepro.2019.118314</t>
  </si>
  <si>
    <t>Integrated design of remanufacturable products based on product profiles</t>
  </si>
  <si>
    <t/>
  </si>
  <si>
    <t>ZP+06</t>
  </si>
  <si>
    <t>https://doi.org/10.1016/j.jclepro.2005.11.028</t>
  </si>
  <si>
    <t>Product Remanufacturability Assessment Based on Design Information</t>
  </si>
  <si>
    <t/>
  </si>
  <si>
    <t>FHC+14</t>
  </si>
  <si>
    <t>https://doi.org/10.1016/j.procir.2014.06.050</t>
  </si>
  <si>
    <t>Defines four key technical remanufacturability metrics.</t>
  </si>
  <si>
    <t>The co-opetitive strategy of a closed-loop supply chain with remanufacturing</t>
  </si>
  <si>
    <t/>
  </si>
  <si>
    <t>CJ+12</t>
  </si>
  <si>
    <t>https://doi.org/10.1016/j.tre.2011.10.001</t>
  </si>
  <si>
    <t>Remanufacturing typically costs 40–60% less than manufacturing new products.</t>
  </si>
  <si>
    <t>Product Circularity Assessment Methodology</t>
  </si>
  <si>
    <t/>
  </si>
  <si>
    <t>http://dx.doi.org/10.1007/978-3-319-66926-7_47</t>
  </si>
  <si>
    <t>We specifically refer to the focus on resource's circularity in terms of the reutilization of it.</t>
  </si>
  <si>
    <t>To provide a unified view of the sustainability performance of a product, allowing stakeholders to understand its overall impact.
To guide product design and development decisions by highlighting strengths and weaknesses in sustainability.
To communicate the sustainability credentials of the product to consumers, enhancing trust and brand loyalty.
To identify areas for improvement throughout the product lifecycle, from sourcing to end-of-life management.</t>
  </si>
  <si>
    <t>EN6</t>
  </si>
  <si>
    <t>Pollution &amp; Effects on Nature Score</t>
  </si>
  <si>
    <t>EN6-1</t>
  </si>
  <si>
    <t>EN6-2</t>
  </si>
  <si>
    <t>EN6-3</t>
  </si>
  <si>
    <t>EN6-4</t>
  </si>
  <si>
    <t>EN6-5</t>
  </si>
  <si>
    <t>EN6-6</t>
  </si>
  <si>
    <t>EN6-7</t>
  </si>
  <si>
    <t>EN6-8</t>
  </si>
  <si>
    <t>Ozone depletion</t>
  </si>
  <si>
    <t>Respiratory inorganics</t>
  </si>
  <si>
    <t>Photochemical ozone formation</t>
  </si>
  <si>
    <t>Eutrophication: Terrestrial</t>
  </si>
  <si>
    <t>Eutrophication: Marine</t>
  </si>
  <si>
    <t>Eutrophication: Freshwater</t>
  </si>
  <si>
    <t>Ionizing radiation</t>
  </si>
  <si>
    <t>kg CFC-11 eq</t>
  </si>
  <si>
    <t>kg NMVOC eq.</t>
  </si>
  <si>
    <t>Mole of N eq.</t>
  </si>
  <si>
    <t>kg N eq.</t>
  </si>
  <si>
    <t>kg P eq.</t>
  </si>
  <si>
    <t>Mole of H+ eq.</t>
  </si>
  <si>
    <t>Measures the emissions of long-lived gases such as chlorofluorocarbons (CFCs), hydrochlorofluorocarbons (HCFCs), and Halons.</t>
  </si>
  <si>
    <t>EDIP model from ODPs of the World Meteorological Organisation (WMO) over an infinite time horizon</t>
  </si>
  <si>
    <t>Dataset with updated ozone depletion characterization factors for life cycle impact assessment</t>
  </si>
  <si>
    <t/>
  </si>
  <si>
    <t>AO+24</t>
  </si>
  <si>
    <t>https://doi.org/10.1016/j.dib.2024.111103</t>
  </si>
  <si>
    <t>For ozone depletion reference</t>
  </si>
  <si>
    <t>Measures the adverse health effects on humans caused by Particulate Matter (PM) and its precursors, such as nitrogen oxides (NOx), sulfur oxides (SOx), and ammonia (NH3​)</t>
  </si>
  <si>
    <t>https://doi.org/10.11581/DTU:00000011</t>
  </si>
  <si>
    <t>USEtox® 2.0 Documentation</t>
  </si>
  <si>
    <t>Documentation</t>
  </si>
  <si>
    <t/>
  </si>
  <si>
    <t>USEtox2.0</t>
  </si>
  <si>
    <t>Measures the formation of ground-level (tropospheric) ozone, often referred to as "smog". It is caused by the photochemical oxidation of volatile organic compounds (VOCs) and carbon monoxide in the presence of nitrogen oxides and sunlight, which can damage vegetation and human respiratory tracts.</t>
  </si>
  <si>
    <t>LOTOS-EUROS model in ReCiPe</t>
  </si>
  <si>
    <t>https://doi.org/10.1016/j.atmosenv.2007.09.072</t>
  </si>
  <si>
    <t/>
  </si>
  <si>
    <t>European characterization factors for human health damage of PM10 and ozone in life cycle impact assessment</t>
  </si>
  <si>
    <t>VZ+08</t>
  </si>
  <si>
    <t>Accumulated Exceedance (AE) model</t>
  </si>
  <si>
    <t>EUTREND model</t>
  </si>
  <si>
    <t>Measures the eutrophication occurs when excess nutrients (mainly nitrogen and phosphorus) from sources like fertilizers and sewage accelerate the growth of algae, which reaches the marine end compartment.</t>
  </si>
  <si>
    <t>Measures the eutrophication occurs when excess nutrients (mainly nitrogen and phosphorus) from sources like fertilizers and sewage accelerate the growth of algae, which reaches the freshwater end compartment.</t>
  </si>
  <si>
    <t>Measures the impact of acidifying substances primarily nitrogen oxides (NOx), ammonia (NH3​), and sulfur oxides (SOx), which release hydrogen ions when mineralized.</t>
  </si>
  <si>
    <t>Measures the adverse effects on human health resulting from exposure to radioactive releases into the environment.</t>
  </si>
  <si>
    <t>Human health effect model</t>
  </si>
  <si>
    <t>https://doi.org/10.1016/S0195-9255(99)00042-6</t>
  </si>
  <si>
    <t>FR+00</t>
  </si>
  <si>
    <t/>
  </si>
  <si>
    <t>Human health damages due to ionising radiation in life cycle impact assessment</t>
  </si>
  <si>
    <t>EN7</t>
  </si>
  <si>
    <t>Toxicity Score</t>
  </si>
  <si>
    <t>CTUh</t>
  </si>
  <si>
    <t>CTUe</t>
  </si>
  <si>
    <t>EN7-1</t>
  </si>
  <si>
    <t>EN7-2</t>
  </si>
  <si>
    <t>EN7-3</t>
  </si>
  <si>
    <t>Human toxicity: cancer</t>
  </si>
  <si>
    <t>Human toxicity: non-cancer</t>
  </si>
  <si>
    <t>Ecotoxicity: freshwater</t>
  </si>
  <si>
    <t>Measures the adverse health effects on human beings related to the intake of toxic substances that are known to cause cancer.</t>
  </si>
  <si>
    <r>
      <t>Measures the adverse health effects on human beings caused by the intake of toxic substances that are related to</t>
    </r>
    <r>
      <rPr>
        <b/>
        <sz val="11"/>
        <color theme="1"/>
        <rFont val="Calibri"/>
        <family val="2"/>
        <scheme val="minor"/>
      </rPr>
      <t xml:space="preserve"> non</t>
    </r>
    <r>
      <rPr>
        <sz val="11"/>
        <color theme="1"/>
        <rFont val="Calibri"/>
        <family val="2"/>
        <scheme val="minor"/>
      </rPr>
      <t>-cancer effects.</t>
    </r>
  </si>
  <si>
    <t>Measures the toxic impacts of chemical releases on a freshwater ecosystem. It measures how toxic substances damage individual species and subsequently change the structure and function of the entire ecosystem.</t>
  </si>
  <si>
    <t>Measures the product's toxic impact on humans and environment. Based on the PEF impact factor categorization.</t>
  </si>
  <si>
    <t>Measures the product's pollution impact on humans and environment. Based on the PEF impact factor categorization.</t>
  </si>
  <si>
    <t>COMMISSION RECOMMENDATION (EU) 2021/2279</t>
  </si>
  <si>
    <t/>
  </si>
  <si>
    <t>EUPEF+21</t>
  </si>
  <si>
    <t>https://eur-lex.europa.eu/eli/reco/2021/2279</t>
  </si>
  <si>
    <t>As reference for the 16 impact factors of PEF, more specifically the Annex I</t>
  </si>
  <si>
    <t>Non-legislative Act</t>
  </si>
  <si>
    <t>EN8</t>
  </si>
  <si>
    <t>Resource Deprivation Score</t>
  </si>
  <si>
    <t>EN8-1</t>
  </si>
  <si>
    <t>Water Use Scarcity</t>
  </si>
  <si>
    <t>Total abiotic resource depletion (ADP ultimate reserves)</t>
  </si>
  <si>
    <t>Total abiotic resource depletion - fossil fuels (ADP fossil)</t>
  </si>
  <si>
    <t>MJ</t>
  </si>
  <si>
    <t>kg Sb eq.</t>
  </si>
  <si>
    <t>Measures the product's resource depletion impact on the environment. Covers the deprivation due to use of water, minerals, metals, and fossil.</t>
  </si>
  <si>
    <t>https://doi.org/10.1007/s11367-017-1333-8</t>
  </si>
  <si>
    <t>The WULCA consensus characterization model for water scarcity footprints: assessing impacts of water consumption based on available water remaining (AWARE)</t>
  </si>
  <si>
    <t/>
  </si>
  <si>
    <t>BA+17</t>
  </si>
  <si>
    <t>Abiotic resource depletion in LCA</t>
  </si>
  <si>
    <t/>
  </si>
  <si>
    <t>Technical Documentation</t>
  </si>
  <si>
    <t>https://web.universiteitleiden.nl/cml/ssp/projects/lca2/report_abiotic_depletion_web.pdf</t>
  </si>
  <si>
    <t>OL+02</t>
  </si>
  <si>
    <t>EN9</t>
  </si>
  <si>
    <t>A part of the LCA handbook, specifically for calculating the Abiotic Depletion Potential (ADP)</t>
  </si>
  <si>
    <t>Social Economic Contribution Score</t>
  </si>
  <si>
    <t>S3-5</t>
  </si>
  <si>
    <t>S3-6</t>
  </si>
  <si>
    <t>S3-7</t>
  </si>
  <si>
    <t>Average Cost of Living</t>
  </si>
  <si>
    <t>Average Employee Salary</t>
  </si>
  <si>
    <t>To provide the product's role in fostering socio-economic growth and workers' welfare within its value chain.</t>
  </si>
  <si>
    <t>To evaluate the economic health of a product and identify areas for cost reduction or revenue improvement.
To provide insights for pricing, product development, and marketing strategies to maximize profitability.
To effectively convey economic performance metrics to stakeholders, highlighting the financial benefits of the product.</t>
  </si>
  <si>
    <t>Disease incidences per kg of PM2.5 (μm)</t>
  </si>
  <si>
    <t>Total deprivation of freshwater resources. Assesses the product's water resource consumption. (weighted deprivation water consumption)</t>
  </si>
  <si>
    <t>PEF Single Score</t>
  </si>
  <si>
    <t>To allow benchmarking between products.</t>
  </si>
  <si>
    <t>To assess how effectively resources are being used and identify opportunities for improvement.
To guide product design and operational practices towards more sustainable resource management.
To convey resource efficiency initiatives to stakeholders, reinforcing the organization’s commitment to sustainability.</t>
  </si>
  <si>
    <t>Measures the proportion of material or components that can be effectively reused, refurbished, or recycled from the EoL reclamations. Due to various reasons, not 100% of the reclaimed product could be used.</t>
  </si>
  <si>
    <t>Measures the share of returned products  after the expected use time. An existing program such as take-back policies must exist. Does NOT include recalls and rejects. The focus is to reclaim products that have fulfilled their use purpose.</t>
  </si>
  <si>
    <t>Measures the share of returned packaging. Normalized through the expected or target number of reclaimed packaging.</t>
  </si>
  <si>
    <t>S34</t>
  </si>
  <si>
    <t>Weighted sum of each underlying metrics compared to a target value or comparable product / standard</t>
  </si>
  <si>
    <t>This KPI is intended for internal company comparison i.e. shoes manufactured in germany vs in vietnam</t>
  </si>
  <si>
    <t>Resource Use: Fossil</t>
  </si>
  <si>
    <t>Resource Use: Minerals &amp; Metals</t>
  </si>
  <si>
    <t>Dataset</t>
  </si>
  <si>
    <t>https://eplca.jrc.ec.europa.eu/SDPDB/showLCIAMethod.xhtml?uuid=f6cbd466-253f-4145-a4bb-8dae7d266e89&amp;stock=default</t>
  </si>
  <si>
    <t>Acidification terrestrial and freshwater</t>
  </si>
  <si>
    <t/>
  </si>
  <si>
    <t>ILCD2011</t>
  </si>
  <si>
    <t>ReCiPe2008</t>
  </si>
  <si>
    <t>https://www.researchgate.net/publication/302559709_ReCiPE_2008_A_life_cycle_impact_assessment_method_which_comprises_harmonised_category_indicators_at_the_midpoint_and_the_endpoint_level</t>
  </si>
  <si>
    <t>ReCiPE 2008: A life cycle impact assessment method which comprises harmonised category indicators at the midpoint and the endpoint level</t>
  </si>
  <si>
    <t/>
  </si>
  <si>
    <t>https://data.environdec.com/datasetdetail/lciamethod.xhtml?lang=en&amp;uuid=b53ec18f-7377-4ad3-86eb-cc3f4f276b2b&amp;version=01.00.011</t>
  </si>
  <si>
    <t xml:space="preserve">LCIA Method Data set: Eutrophication potential - freshwater </t>
  </si>
  <si>
    <t>EUEP-FW</t>
  </si>
  <si>
    <t/>
  </si>
  <si>
    <t>kg CO₂ eq.</t>
  </si>
  <si>
    <t>kBq U-235 eq.</t>
  </si>
  <si>
    <t>Implicitly contains how much recycled materials are used for the product.</t>
  </si>
  <si>
    <t>Wasted Material Outflow</t>
  </si>
  <si>
    <t>C5</t>
  </si>
  <si>
    <t>Measures the circular actions in practice for which the product supports the circular economy principles such as the amount of recycled, refurbished, repurposed components.</t>
  </si>
  <si>
    <t>Repurposed component weight</t>
  </si>
  <si>
    <t>Recycled component weight</t>
  </si>
  <si>
    <t>Remanufactured component weight</t>
  </si>
  <si>
    <t>Refurbished product weight</t>
  </si>
  <si>
    <t>Circular EoL handling</t>
  </si>
  <si>
    <t>Total weight of valuable components recovered from the overall reclaimed units. The rest of the non-valuable components will be used for scrap.</t>
  </si>
  <si>
    <t>To provide overview on current circularity actions. The goal is to achieve a 100% handling of EoL products, meaning no parts are wasted.</t>
  </si>
  <si>
    <t>The exact circular efforts in practice are not explicitly considered here, but in the "Circular EoL Handling" KPI.</t>
  </si>
  <si>
    <t>Measures the design effort for which the product supports the circular economy principles. This KPI aligns with the R1-R3 principle, where the efforts for a circular product comes from the design.</t>
  </si>
  <si>
    <t>The total product weight sent to the refurbishing pipeline.</t>
  </si>
  <si>
    <t>The total component weight sent to the remanufacturing pipeline.</t>
  </si>
  <si>
    <t>The total component weight sent for repurposing as another product.</t>
  </si>
  <si>
    <t>The total component weight recycled into secondary materials. Does not consider the quality difference after recycling.</t>
  </si>
  <si>
    <t>Reclaimed Units Weight</t>
  </si>
  <si>
    <t>Valuable components weight</t>
  </si>
  <si>
    <t>C5-1</t>
  </si>
  <si>
    <t>C5-2</t>
  </si>
  <si>
    <t>C5-3</t>
  </si>
  <si>
    <t>C5-4</t>
  </si>
  <si>
    <t>Reclaimed Packaging Materials Weight</t>
  </si>
  <si>
    <t>Remanufacturable Component Weight</t>
  </si>
  <si>
    <t>Total weight of remanufacturable components in the product's design.</t>
  </si>
  <si>
    <t>Remanufacturability of Components</t>
  </si>
  <si>
    <t>To reduce wasted materials and increase secondary materials generation.</t>
  </si>
  <si>
    <t>To save more energy in making products by increasing the remanufactured parts from previous EoL products.</t>
  </si>
  <si>
    <t>Recirculated byproduct derived from outflow</t>
  </si>
  <si>
    <t>Repurposed byproduct derived from outflow</t>
  </si>
  <si>
    <t>Total byproduct of outflow</t>
  </si>
  <si>
    <t>Product Cyclable Potential</t>
  </si>
  <si>
    <t>Measures the overall (EU) PEF performance of a product. The resulting score by itself does not represent anything and needs to be compared to another product's PEF single score.</t>
  </si>
  <si>
    <t>Logistic Costs</t>
  </si>
  <si>
    <t>Savings in energy costs made possible by the recovery from production waste.</t>
  </si>
  <si>
    <t>All</t>
  </si>
  <si>
    <t>EN135</t>
  </si>
  <si>
    <r>
      <t xml:space="preserve">A </t>
    </r>
    <r>
      <rPr>
        <b/>
        <sz val="11"/>
        <color theme="1"/>
        <rFont val="Calibri"/>
        <family val="2"/>
        <scheme val="minor"/>
      </rPr>
      <t>category</t>
    </r>
    <r>
      <rPr>
        <sz val="11"/>
        <color theme="1"/>
        <rFont val="Calibri"/>
        <family val="2"/>
        <scheme val="minor"/>
      </rPr>
      <t xml:space="preserve">, where PLC stands for Product Life Cycle. It serves as a high level categorization of the indicators into the life cycle phases. It combines the traditional life cycles with the product manufacturing life cycle. The phases consists of: </t>
    </r>
    <r>
      <rPr>
        <b/>
        <sz val="11"/>
        <color theme="1"/>
        <rFont val="Calibri"/>
        <family val="2"/>
        <scheme val="minor"/>
      </rPr>
      <t>Planning, Sourcing, Manufacturing, Distribution, Use, End of Life.</t>
    </r>
  </si>
  <si>
    <t>S</t>
  </si>
  <si>
    <t>M</t>
  </si>
  <si>
    <t>U</t>
  </si>
  <si>
    <t>E</t>
  </si>
  <si>
    <t>Distribution Emission Ratio</t>
  </si>
  <si>
    <t>D</t>
  </si>
  <si>
    <t>S,M</t>
  </si>
  <si>
    <t>P,S,M</t>
  </si>
  <si>
    <t>D,U,E</t>
  </si>
  <si>
    <t>EN445</t>
  </si>
  <si>
    <t>Distribution Water Footprint Ratio</t>
  </si>
  <si>
    <t>Measures the emissions generated from the distribution of product to end users.</t>
  </si>
  <si>
    <t>Measures the emissions generated from the manufacturing and assembly of the product.</t>
  </si>
  <si>
    <t>P</t>
  </si>
  <si>
    <t xml:space="preserve"> </t>
  </si>
  <si>
    <t>S,M,D</t>
  </si>
  <si>
    <t>S,M,D,U</t>
  </si>
  <si>
    <t>S,M,E</t>
  </si>
  <si>
    <t>S,M,D,U,E</t>
  </si>
  <si>
    <t>P,E</t>
  </si>
  <si>
    <t>P,M</t>
  </si>
  <si>
    <t>P,D</t>
  </si>
  <si>
    <t>P,D,E</t>
  </si>
  <si>
    <t>D,E</t>
  </si>
  <si>
    <t>M,E</t>
  </si>
  <si>
    <t>P,U,E</t>
  </si>
  <si>
    <t>P,M,D</t>
  </si>
  <si>
    <t>The total amount of mass of material and waste produced throughout the production process.</t>
  </si>
  <si>
    <t>The total amount of mass of material and waste reused or reutilized in the same process cycle.</t>
  </si>
  <si>
    <r>
      <t xml:space="preserve">The total amount of mass of material and waste reused </t>
    </r>
    <r>
      <rPr>
        <b/>
        <sz val="11"/>
        <color theme="1"/>
        <rFont val="Calibri"/>
        <family val="2"/>
        <scheme val="minor"/>
      </rPr>
      <t>outside</t>
    </r>
    <r>
      <rPr>
        <sz val="11"/>
        <color theme="1"/>
        <rFont val="Calibri"/>
        <family val="2"/>
        <scheme val="minor"/>
      </rPr>
      <t xml:space="preserve"> of the product's process cycle.</t>
    </r>
  </si>
  <si>
    <t>P,M,D,E</t>
  </si>
  <si>
    <t>The total volume of water intake needed throughout the product's process cycle.</t>
  </si>
  <si>
    <t>P,S,M,U</t>
  </si>
  <si>
    <t>nEHS</t>
  </si>
  <si>
    <t>Cost of CO2</t>
  </si>
  <si>
    <t>EC5</t>
  </si>
  <si>
    <t>EC5-1</t>
  </si>
  <si>
    <t>CO2 Cost Performance</t>
  </si>
  <si>
    <t>Measures the carbon cost performance per unit of product by combining the total CO2 cost with the product carbon footprint.</t>
  </si>
  <si>
    <t>The monetary cost applied to greenhouse gas emissions, based on CO2 pricing by the nEHS.</t>
  </si>
  <si>
    <t>€ / kgCO2eq</t>
  </si>
  <si>
    <t>Cost = Cost of CO2 x (Absolute PCF / Produced Units)
Performance = (Cost - Min) / (Max - Min)</t>
  </si>
  <si>
    <t>To determine whether the current CO2 cost per product is within the expected range.</t>
  </si>
  <si>
    <t>WEIGHTED_AVERAGE_STRATEGY</t>
  </si>
  <si>
    <t>C11
C12
C13</t>
  </si>
  <si>
    <t>C1-1
C1-2</t>
  </si>
  <si>
    <t>C1-5
C1-6</t>
  </si>
  <si>
    <t>RAW_VALUE_STRATEGY</t>
  </si>
  <si>
    <t>NORMALIZED_RATIO_STRATEGY</t>
  </si>
  <si>
    <t>C21
C22
C23</t>
  </si>
  <si>
    <t>C211
C212
C213</t>
  </si>
  <si>
    <t>C2-1
C2-2</t>
  </si>
  <si>
    <t>C2-3
C2-4</t>
  </si>
  <si>
    <t>C221
C222
C223</t>
  </si>
  <si>
    <t>C2-6
C2-7</t>
  </si>
  <si>
    <t>C2-8
C2-9</t>
  </si>
  <si>
    <t>C231
C232</t>
  </si>
  <si>
    <t>C2-11
C2-13</t>
  </si>
  <si>
    <t>C2-12
C2-13</t>
  </si>
  <si>
    <t>C31
C32
C33
C34</t>
  </si>
  <si>
    <t>C3-1
C3-2</t>
  </si>
  <si>
    <t>C3-1
C3-3</t>
  </si>
  <si>
    <t>C3-1
C3-4</t>
  </si>
  <si>
    <t>C3-5
C3-6</t>
  </si>
  <si>
    <t>C4-1
C4-2
C4-3</t>
  </si>
  <si>
    <t>Restored = Total components remanufactured / Total secondary components inflow
(Ratio - Min) / (Max - Min)</t>
  </si>
  <si>
    <t>Restored Components Share</t>
  </si>
  <si>
    <t>d</t>
  </si>
  <si>
    <t>2
5</t>
  </si>
  <si>
    <t>1
0.5</t>
  </si>
  <si>
    <t>0.5
0.3</t>
  </si>
  <si>
    <t>1
4</t>
  </si>
  <si>
    <t>Could be components instead, but now in kg for calculation simplicity.</t>
  </si>
  <si>
    <t>0.7</t>
  </si>
  <si>
    <t>0.3
0</t>
  </si>
  <si>
    <t>0.5
0</t>
  </si>
  <si>
    <t>80%
30%</t>
  </si>
  <si>
    <t>Recovered = Weight of valuable unit components / Weight of Reclaimed Units
(Recovered - Min) / (Max - Min)</t>
  </si>
  <si>
    <t>max=25%
min=10%</t>
  </si>
  <si>
    <t>Total Sold Packaging Weight</t>
  </si>
  <si>
    <t>max=80%
min=30%</t>
  </si>
  <si>
    <t>100
0</t>
  </si>
  <si>
    <t>C1-3
C1-4</t>
  </si>
  <si>
    <t>Reclaimed = Reclaimed packaging material weight / Total Sold Packaging Weight
(Reclaimed - Min) / (Max - Min)</t>
  </si>
  <si>
    <t>C1
C2
C3
C4
C5</t>
  </si>
  <si>
    <t>Total components inflow</t>
  </si>
  <si>
    <t>The total components (both new and secondary) included in the remanufactured product.</t>
  </si>
  <si>
    <t>The total components actually integrated into a remanufactured unit.</t>
  </si>
  <si>
    <t>1
0</t>
  </si>
  <si>
    <t>Example Values</t>
  </si>
  <si>
    <t>Calculation Strategy</t>
  </si>
  <si>
    <t>Example Value</t>
  </si>
  <si>
    <t>Measures the percentage of generated energy in the product's lifecycle which is reused back into the process pipeline.</t>
  </si>
  <si>
    <t>GRI 302-2</t>
  </si>
  <si>
    <t>Logistics Energy Performance</t>
  </si>
  <si>
    <t>GRI 302-5</t>
  </si>
  <si>
    <t>Energy Consumption Performance</t>
  </si>
  <si>
    <t>GRI 302-3</t>
  </si>
  <si>
    <t>Measures the reduction of total energy used throughout the product's life cycle.</t>
  </si>
  <si>
    <t>R221</t>
  </si>
  <si>
    <t>R222</t>
  </si>
  <si>
    <t>R223</t>
  </si>
  <si>
    <t>Total energy inflow (Current)</t>
  </si>
  <si>
    <t>Total energy inflow (Previous)</t>
  </si>
  <si>
    <t>The amount of energy effectively used for the desired output of the product.</t>
  </si>
  <si>
    <t>Operational Output Energy</t>
  </si>
  <si>
    <t>Operational Input Energy</t>
  </si>
  <si>
    <t>The amount of energy supplied to the product.</t>
  </si>
  <si>
    <t>R2-7</t>
  </si>
  <si>
    <t>R2-8</t>
  </si>
  <si>
    <t>R2-9</t>
  </si>
  <si>
    <t>Performance = Output / Input</t>
  </si>
  <si>
    <t>End User Energy Efficiency</t>
  </si>
  <si>
    <t>Measures the share of energy consumption for transportation and distribution of products. Includes reverse logistics.</t>
  </si>
  <si>
    <t>Logistics Energy Consumption</t>
  </si>
  <si>
    <t>The total energy consumption for transportation and distribution of products. Includes reverse logistics.</t>
  </si>
  <si>
    <t>R2-8
R2-9</t>
  </si>
  <si>
    <t>S,D</t>
  </si>
  <si>
    <t>Customer / Product Data</t>
  </si>
  <si>
    <t>Sum (weight * R221 + … + weight * R223)</t>
  </si>
  <si>
    <t>GRI 302-2
GRI 302-3
GRI 302-5
ESRS E1-5</t>
  </si>
  <si>
    <t>R1
R2
R3</t>
  </si>
  <si>
    <t>R11
R12</t>
  </si>
  <si>
    <t>R111
R112</t>
  </si>
  <si>
    <t>R1-1
R1-2</t>
  </si>
  <si>
    <t>R1-1
R1-3</t>
  </si>
  <si>
    <t>R1-4
R1-6</t>
  </si>
  <si>
    <t>R2-2
R2-3</t>
  </si>
  <si>
    <t>R2-1
R2-2</t>
  </si>
  <si>
    <t>R31
R32
R33</t>
  </si>
  <si>
    <t>R311
R312</t>
  </si>
  <si>
    <t>R3-1
R3-2</t>
  </si>
  <si>
    <t>R3-2
R3-3</t>
  </si>
  <si>
    <t>R3-4
R3-5</t>
  </si>
  <si>
    <t>R32
R33</t>
  </si>
  <si>
    <t>R213</t>
  </si>
  <si>
    <t>Stored Energy Share</t>
  </si>
  <si>
    <t>Stored energy derived from outflow</t>
  </si>
  <si>
    <t>The amount of energy stored from the generated energy.</t>
  </si>
  <si>
    <t>R2-10</t>
  </si>
  <si>
    <t>R2-5
R2-6</t>
  </si>
  <si>
    <t>R2-9
R2-10</t>
  </si>
  <si>
    <t>R2-2
R2-4</t>
  </si>
  <si>
    <t>Stored = Stored Energy / Generated Energy
(Stored - Min) / (Max - Min)</t>
  </si>
  <si>
    <t>R211
R212
R213</t>
  </si>
  <si>
    <t>EN1-4
EN1-5</t>
  </si>
  <si>
    <t>EN131
EN132
EN133
EN134
EN135</t>
  </si>
  <si>
    <t>EN1-1
EN1-2
EN1-3</t>
  </si>
  <si>
    <t>EN21
EN22</t>
  </si>
  <si>
    <t>EN2-1
EN2-2</t>
  </si>
  <si>
    <t>EN2-3
EN2-4</t>
  </si>
  <si>
    <t>EN31
EN32</t>
  </si>
  <si>
    <t>EN3-2
EN3-3</t>
  </si>
  <si>
    <t>EN4-1
EN4-4</t>
  </si>
  <si>
    <t>EN441
EN442
EN443
EN444
EN445</t>
  </si>
  <si>
    <t>EN4-1
EN4-2
EN4-3</t>
  </si>
  <si>
    <t>EN5-1
EN5-2</t>
  </si>
  <si>
    <t>EN6-1
EN6-2
EN6-3
EN6-4
EN6-5
EN6-6
EN6-7
EN6-8</t>
  </si>
  <si>
    <t>EN7-1
EN7-2
EN7-3</t>
  </si>
  <si>
    <t>EN8-1
EN8-2
EN8-3</t>
  </si>
  <si>
    <t>EN8-2</t>
  </si>
  <si>
    <t>EN8-3</t>
  </si>
  <si>
    <t>S1
S2
S3</t>
  </si>
  <si>
    <t>S11
S12</t>
  </si>
  <si>
    <t>S1-1
S1-2</t>
  </si>
  <si>
    <t>S1-1
S1-3</t>
  </si>
  <si>
    <t>S21
S22
S23
S24</t>
  </si>
  <si>
    <t>S2-1
S2-2</t>
  </si>
  <si>
    <t>S2-5
S2-6</t>
  </si>
  <si>
    <t>S2-6
S2-7</t>
  </si>
  <si>
    <t>S31
S32
S33
S34</t>
  </si>
  <si>
    <t>S3-1
S3-2</t>
  </si>
  <si>
    <t>S3-2
S3-3</t>
  </si>
  <si>
    <t>S3-2
S3-4</t>
  </si>
  <si>
    <t>S3-5
S3-6
S3-7</t>
  </si>
  <si>
    <t>EC11
EC12</t>
  </si>
  <si>
    <t>EC1-4
EC121</t>
  </si>
  <si>
    <t>EC1-1
EC1-2
EC1-3
EC111
EC112</t>
  </si>
  <si>
    <t>EC1-3
EC1-4
EC111
EC112
EC121</t>
  </si>
  <si>
    <t>EC411
EC421
EC431
EC461</t>
  </si>
  <si>
    <t>EC441
EC451</t>
  </si>
  <si>
    <t>EC1-5
EC1-6
EC1-7
EC1-8
EC1-9</t>
  </si>
  <si>
    <t>EC4-31
EC4-32</t>
  </si>
  <si>
    <t>EC1-4
EC3-1</t>
  </si>
  <si>
    <t>EC4-1
EC411</t>
  </si>
  <si>
    <t>EC4-2
EC4-3
EC4-4
EC4-5</t>
  </si>
  <si>
    <t>EC4-6
EC421</t>
  </si>
  <si>
    <t>EC4-7
EC4-8
EC4-9
EC4-10
EC4-11</t>
  </si>
  <si>
    <t>EC4-12
EC431</t>
  </si>
  <si>
    <t>EC4-13
EC4-14</t>
  </si>
  <si>
    <t>EC4-15
EC441</t>
  </si>
  <si>
    <t>EC4-16
EC4-17
EC4-18</t>
  </si>
  <si>
    <t>EC4-19
EC451</t>
  </si>
  <si>
    <t>EC4-20
EC4-21
EC4-22
EC4-23</t>
  </si>
  <si>
    <t>EC4-24
EC461</t>
  </si>
  <si>
    <t>EC4-25
EC4-26
EC4-27
EC4-28
EC4-29
EC4-30</t>
  </si>
  <si>
    <t>Economic Viability Score</t>
  </si>
  <si>
    <t>max=1
min=0.5</t>
  </si>
  <si>
    <t>Total water consumption</t>
  </si>
  <si>
    <t>EN1-4
EN131
EN132
EN133
EN134
EN135</t>
  </si>
  <si>
    <t>EC2
EC12</t>
  </si>
  <si>
    <t>EC111
EC41</t>
  </si>
  <si>
    <t>EC111
EC42</t>
  </si>
  <si>
    <t>EC111
EC43</t>
  </si>
  <si>
    <t>EC112
EC44</t>
  </si>
  <si>
    <t>EC112
EC45</t>
  </si>
  <si>
    <t>EC111
EC46</t>
  </si>
  <si>
    <t>C31
C32
C33</t>
  </si>
  <si>
    <t>S23
S24</t>
  </si>
  <si>
    <t>S31
S32
S33</t>
  </si>
  <si>
    <t>EN11
EN12
EN13
EC5</t>
  </si>
  <si>
    <t>Gray Water Footprint</t>
  </si>
  <si>
    <t>Sum of blue, green, gray water footprint</t>
  </si>
  <si>
    <t>Product Life Cycle Stages</t>
  </si>
  <si>
    <r>
      <t xml:space="preserve">We have a hierarchical structure with the highest level KPIs (ERC) being:
</t>
    </r>
    <r>
      <rPr>
        <b/>
        <sz val="18"/>
        <color rgb="FF000000"/>
        <rFont val="Calibri"/>
        <family val="2"/>
        <scheme val="minor"/>
      </rPr>
      <t>- Environmental Impact
- Economic Viability
- Circular Efforts
- Resource Efficiency
- Social Impact</t>
    </r>
  </si>
  <si>
    <t>- Data metrics, which are the foundation of the KPI calculations, are provided by the user. The metrics rows are colored gray except in the "Metrics List" tab.
- The KPI system calculates the score by using any available data. For example, if no social impact KPIs were successfully calculated due to missing data, the weight are set to 0 automatically.
- Weights have planned value, specified beforehand, and actual value, which will be dynamically calculated on missing values.</t>
  </si>
  <si>
    <r>
      <t>This file is a </t>
    </r>
    <r>
      <rPr>
        <b/>
        <sz val="18"/>
        <color rgb="FF000000"/>
        <rFont val="Calibri"/>
        <family val="2"/>
        <scheme val="minor"/>
      </rPr>
      <t>collection of key performance indicators (KPIs)</t>
    </r>
    <r>
      <rPr>
        <sz val="18"/>
        <color rgb="FF000000"/>
        <rFont val="Calibri"/>
        <family val="2"/>
        <scheme val="minor"/>
      </rPr>
      <t xml:space="preserve"> with information related to its description, calculation, categories, and references. All KPIs are meant to be </t>
    </r>
    <r>
      <rPr>
        <b/>
        <sz val="18"/>
        <color rgb="FF000000"/>
        <rFont val="Calibri"/>
        <family val="2"/>
        <scheme val="minor"/>
      </rPr>
      <t>product focused</t>
    </r>
    <r>
      <rPr>
        <sz val="18"/>
        <color rgb="FF000000"/>
        <rFont val="Calibri"/>
        <family val="2"/>
        <scheme val="minor"/>
      </rPr>
      <t xml:space="preserve"> and not organizational wide.</t>
    </r>
  </si>
  <si>
    <t>Weight</t>
  </si>
  <si>
    <t>EC5-1
R2-7
EN1-4</t>
  </si>
  <si>
    <t>Inflow</t>
  </si>
  <si>
    <t>Outflow</t>
  </si>
  <si>
    <t>All of X supplied to the process scope. (e.g. energy inflow = total energy going into the product manufacturing process)</t>
  </si>
  <si>
    <t>All of X leaving the process scope. (e.g. mass outflow = total mass leaving the product manufacturing process, could be in the form of waste or byproduct)</t>
  </si>
  <si>
    <t>Parent Metrics</t>
  </si>
  <si>
    <t>To reduce customer's wait times and improve service experience.</t>
  </si>
  <si>
    <t>Profits generated with a product repair service, guaranteeing product repair for its lifespan /  defined time span.</t>
  </si>
  <si>
    <t>To provide a single decision metric to prioritize circular service efforts.</t>
  </si>
  <si>
    <t>Method to achieve circular designs of products</t>
  </si>
  <si>
    <t/>
  </si>
  <si>
    <t>EN 45560</t>
  </si>
  <si>
    <t>https://www.dinmedia.de/de/norm/din-en-45560/385406553</t>
  </si>
  <si>
    <t>General methods for the assessment of the ability to repair, reuse and
upgrade energyrelated products</t>
  </si>
  <si>
    <t>https://www.dinmedia.de/de/norm/din-en-45554/327255150</t>
  </si>
  <si>
    <t>EN 45554</t>
  </si>
  <si>
    <t/>
  </si>
  <si>
    <t/>
  </si>
  <si>
    <t>EN 45553</t>
  </si>
  <si>
    <t>General method for the assessment of the ability to remanufacture energy related
products</t>
  </si>
  <si>
    <t>https://www.dinmedia.de/de/norm/din-en-45553/329118668</t>
  </si>
  <si>
    <t>EN 45557</t>
  </si>
  <si>
    <t>General method for assessing the proportion of recycled material content
in energyrelated products;</t>
  </si>
  <si>
    <t/>
  </si>
  <si>
    <t>https://www.dinmedia.de/de/norm/din-en-45557/316877808</t>
  </si>
  <si>
    <t>C233</t>
  </si>
  <si>
    <t>Remanufacture Success Rate</t>
  </si>
  <si>
    <t>To assess the effectiveness of the remanufacturing process.</t>
  </si>
  <si>
    <t>C2-14</t>
  </si>
  <si>
    <t>Total remanufactured products</t>
  </si>
  <si>
    <t>The total product / unit remanufactured.</t>
  </si>
  <si>
    <t>(Total remanufactured unit - Min) / (Max - Min)</t>
  </si>
  <si>
    <t>600
400</t>
  </si>
  <si>
    <t>Key performance indicators for sustainable remanufacturing: A literature
review and methodological framework</t>
  </si>
  <si>
    <t>CM+25</t>
  </si>
  <si>
    <t/>
  </si>
  <si>
    <t>ISO 59020
ESRS E5-5</t>
  </si>
  <si>
    <t>Target Value: min, max
Value of another Timeframe</t>
  </si>
  <si>
    <t>Total water utilized / reused from wastewater throughout the product's lifecycle.</t>
  </si>
  <si>
    <t>Total amount of wasted materials going out of the process. "Wasted" means not further processed for other uses.</t>
  </si>
  <si>
    <t>Declines in energy intensity are a proxy for efficiency improvements.</t>
  </si>
  <si>
    <t>R224</t>
  </si>
  <si>
    <t>Logistics = Total energy consumption for logistics / Total energy inflow (Current)
(Logistics - Min) / (Max - Min)</t>
  </si>
  <si>
    <t>To give an overview of current energy consumption metrics, reduce overall energy consumption, and enables benchmarking.</t>
  </si>
  <si>
    <t>R2-11</t>
  </si>
  <si>
    <t>Total manufacturing energy</t>
  </si>
  <si>
    <t>The amount of energy spent during the manufacturing or production phase.</t>
  </si>
  <si>
    <t>R2-11
R2-7</t>
  </si>
  <si>
    <t>Intensity = Total manufacturing energy / Total produced units
(Intensity - Min) / (Max - Min)</t>
  </si>
  <si>
    <t>R223
R224</t>
  </si>
  <si>
    <t>SASB RT-EE-130a.1</t>
  </si>
  <si>
    <t>Measures the energy consumption needed to produce or manufacture the products.</t>
  </si>
  <si>
    <t>Only applicable when there exist self-generated energy.</t>
  </si>
  <si>
    <t>Assessing water circularity in cities: Methodological framework with a
case study</t>
  </si>
  <si>
    <t/>
  </si>
  <si>
    <t>https://doi.org/10.1016/j.resconrec.2021.106042</t>
  </si>
  <si>
    <t>The diagram gives an overview of the metrics we included here.</t>
  </si>
  <si>
    <t>https://doi.org/10.1007/978-3-319-32098-4_27</t>
  </si>
  <si>
    <t>https://doi.org/10.1016/j.clscn.2025.100260</t>
  </si>
  <si>
    <t>https://doi.org/10.13140/RG.2.2.29213.84962</t>
  </si>
  <si>
    <t>SASB-RT-CP</t>
  </si>
  <si>
    <t>https://navigator.sasb.ifrs.org/sector/RT/industry/RT-CP</t>
  </si>
  <si>
    <t>SASB Containers &amp; Packaging</t>
  </si>
  <si>
    <t/>
  </si>
  <si>
    <t>SASB-RT-IG</t>
  </si>
  <si>
    <t>https://navigator.sasb.ifrs.org/sector/RT/industry/RT-IG</t>
  </si>
  <si>
    <t>SASB Industrial Machinery &amp; Goods</t>
  </si>
  <si>
    <t>https://navigator.sasb.ifrs.org/sector/RT/industry/RT-EE</t>
  </si>
  <si>
    <t/>
  </si>
  <si>
    <t/>
  </si>
  <si>
    <t>SASB Electrical &amp; Electronic Equipment</t>
  </si>
  <si>
    <t>SASB-RT-EE</t>
  </si>
  <si>
    <t>SASB Hardware</t>
  </si>
  <si>
    <t>SASB-TC-HW</t>
  </si>
  <si>
    <t/>
  </si>
  <si>
    <t>SASB Software &amp; IT Services</t>
  </si>
  <si>
    <t/>
  </si>
  <si>
    <t>SASB-TC-SI</t>
  </si>
  <si>
    <t>https://navigator.sasb.ifrs.org/sector/TC/industry/TC-SI</t>
  </si>
  <si>
    <t>https://navigator.sasb.ifrs.org/sector/TC/industry/TC-HW</t>
  </si>
  <si>
    <t>SASB Road Transportation</t>
  </si>
  <si>
    <t/>
  </si>
  <si>
    <t>https://navigator.sasb.ifrs.org/sector/TR/industry/TR-RO</t>
  </si>
  <si>
    <t>SASB-TR-RO</t>
  </si>
  <si>
    <t>GRI 306-3
RE+20</t>
  </si>
  <si>
    <t>GRI 101
JQ+25
JPL+19</t>
  </si>
  <si>
    <t>GRI 201-1</t>
  </si>
  <si>
    <t>GRI 403-9
GRI 403-10
ESRS S1-1
ESRS S1-14</t>
  </si>
  <si>
    <t>GRI 401-1</t>
  </si>
  <si>
    <t>GRI 416</t>
  </si>
  <si>
    <t>GRI 416-2</t>
  </si>
  <si>
    <t>GRI 308-1</t>
  </si>
  <si>
    <t/>
  </si>
  <si>
    <t>IFRS S2</t>
  </si>
  <si>
    <t>https://www.ifrs.org/issued-standards/ifrs-sustainability-standards-navigator/ifrs-s2-climate-related-disclosures/</t>
  </si>
  <si>
    <t>ESRS E1-6
IFRS S2</t>
  </si>
  <si>
    <t>GRI 2-7</t>
  </si>
  <si>
    <t>GRI 2-7
ESRS S1-6</t>
  </si>
  <si>
    <t>ISO 26000</t>
  </si>
  <si>
    <t>https://www.iso.org/iso-26000-social-responsibility.html</t>
  </si>
  <si>
    <t/>
  </si>
  <si>
    <t>Mentions that companies should contribute to community i.e. supplies from local commerce and producers.</t>
  </si>
  <si>
    <t>PSILCA
ISO 26000</t>
  </si>
  <si>
    <t>ISO 10004</t>
  </si>
  <si>
    <t/>
  </si>
  <si>
    <t>https://www.iso.org/standard/71582.html</t>
  </si>
  <si>
    <t>ISO 9001:2015</t>
  </si>
  <si>
    <t>ISO 9001</t>
  </si>
  <si>
    <t>https://www.iso.org/standard/62085.html</t>
  </si>
  <si>
    <t/>
  </si>
  <si>
    <t>ISO 9001
ISO 10004</t>
  </si>
  <si>
    <t>Intensity [m3 / fu] = Water Use / Total Produced Units
(Intensity - Min) / (Max - Min)</t>
  </si>
  <si>
    <t>Measures water use per unit of output or produced units. Normalizes water use for comparison and benchmarking.</t>
  </si>
  <si>
    <t>EN4-4
R2-7</t>
  </si>
  <si>
    <t>R221
R222
R223
R224</t>
  </si>
  <si>
    <t>Number of suppliers located in the community. If not possible, extends to the same country.</t>
  </si>
  <si>
    <t>Total Successful Repaired Units</t>
  </si>
  <si>
    <t>Total Units assigned for Repair</t>
  </si>
  <si>
    <t>Measures the water footprint associated from the distribution of product to end users.</t>
  </si>
  <si>
    <t>Measures the water footprint associated from the manufacturing and assembly of the product.</t>
  </si>
  <si>
    <t>C5-5</t>
  </si>
  <si>
    <t>Discarded component weight</t>
  </si>
  <si>
    <t>The total component weight scrapped, discarded, or marked as waste.</t>
  </si>
  <si>
    <t>(Refurbished product weight + Remanufactured component weight + Repurposed component weight + Recycled component weight) / Total reclaimed units weight
OR
Discarded component weight / Total reclaimed units weight</t>
  </si>
  <si>
    <t>Data Source</t>
  </si>
  <si>
    <t>ESRS E1-6
IFRS S2
SASB-RT-CP-110a.1</t>
  </si>
  <si>
    <t>ESRS E1-6
IFRS S2
ISO 14067
EN 15804</t>
  </si>
  <si>
    <t>The total greenhouse gas emissions of a comparable industry product across its lifecycle, taken from a PEF/EPD sector benchmark (a Product Environmental Footprint or EPD sector reference value for the product category).</t>
  </si>
  <si>
    <t>ESRS E1 Climate change</t>
  </si>
  <si>
    <t>European Sustainability Reporting Standard on climate change (Commission Delegated Regulation (EU) 2023/2772). Includes Disclosure Requirement E1-6 — Gross Scopes 1, 2, 3 and Total GHG emissions.</t>
  </si>
  <si>
    <t>ESRS E1</t>
  </si>
  <si>
    <t>https://eur-lex.europa.eu/eli/reg_del/2023/2772/oj</t>
  </si>
  <si>
    <t>ISO 14067:2018 Greenhouse gases — Carbon footprint of products</t>
  </si>
  <si>
    <t>Specifies principles, requirements and guidelines for quantifying the carbon footprint of a product (CFP), based on life cycle assessment.</t>
  </si>
  <si>
    <t>ISO 14067</t>
  </si>
  <si>
    <t>Target Min</t>
  </si>
  <si>
    <t>Target Max</t>
  </si>
  <si>
    <t>Value</t>
  </si>
  <si>
    <t>Reference Value</t>
  </si>
  <si>
    <t>EN1
EN2
EN3
EN4
EN5
EN6
EN7
EN8</t>
  </si>
  <si>
    <t>EN11
EN12
EN13</t>
  </si>
  <si>
    <t>EN0
EN9</t>
  </si>
  <si>
    <t>Needs actual PCF and Industry Average for calculation | Min/Max seeded to default 0/1 — this ratio is already a 0-1 score; override only to score against a tighter target band. See reviews/min-max-sourcing.md (T1.2).</t>
  </si>
  <si>
    <t>Needs actual PCF and PCF of previous product for calculation | Min/Max seeded to default 0/1 — this ratio is already a 0-1 score; override only to score against a tighter target band. See reviews/min-max-sourcing.md (T1.2).</t>
  </si>
  <si>
    <t>Min/Max seeded to default 0/1 — this ratio is already a 0-1 score; override only to score against a tighter target band. See reviews/min-max-sourcing.md (T1.2).</t>
  </si>
  <si>
    <t>Without the weights, the result should be the same as EN1-4 metric, which aggregates the whole CO2eq. But here, companies could focus on the specific phases by assigning different weights to different phases. | ARCHIVED — optional; needs per-stage LCA data; not in score (2026-06)</t>
  </si>
  <si>
    <t>ARCHIVED — optional; needs per-stage LCA data; not in score (2026-06)</t>
  </si>
  <si>
    <t/>
  </si>
  <si>
    <t>SUM_AGGREGATE_STRATEGY</t>
  </si>
  <si>
    <t>EN41
EN42
EN43</t>
  </si>
  <si>
    <t>ESRS E3-4
GRI 303
ISO 14046
ISO 14044</t>
  </si>
  <si>
    <t>Water Independence Ratio</t>
  </si>
  <si>
    <t>Measures the share of the product's water footprint that is not blue water (green + gray), i.e. its independence from freshwater withdrawal. Higher means less reliance on scarce surface and groundwater resources.</t>
  </si>
  <si>
    <t>To reduce reliance on freshwater (blue water) within the total water footprint.</t>
  </si>
  <si>
    <t>Independence = 1 - Blue / Absolute = (Green + Gray) / Absolute Water Footprint</t>
  </si>
  <si>
    <t>2026-06-28: flipped direction (user decision). Was 'Water Dependency Ratio' = Blue/Absolute — freshwater dependency (lower=better) that was never complemented, so it scored backwards under the higher=better normalization (an ascending band cannot fix a monotonic-increasing ratio). Reformulated as the complement 1 - Blue/Absolute = (Green+Gray)/Absolute = independence share (higher=better), renamed 'Water Independence Ratio', and seeded Min=0/Max=1 (now a bounded ratio; moved from PERFORMANCE_DIRECTION to SEED_01). Same fix as R12. See reviews/min-max-sourcing.md.</t>
  </si>
  <si>
    <t>EN4-4
EN43
EN441
EN442
EN443
EN444
EN445</t>
  </si>
  <si>
    <t>EN4-4
EN441
EN442
EN443
EN444
EN445</t>
  </si>
  <si>
    <t>EN1
EN5
EN6
EN7
EN8</t>
  </si>
  <si>
    <t>EC1
EC2
EC3
EC4
EC5</t>
  </si>
  <si>
    <t>ROI = Net Profit / Total Investment Cost; normalizes against company Target Min/Max (set the ROI band you score against). Re-tagged WEIGHTED_AVERAGE-&gt;NORMALIZED_RATIO 2026-06 (T3.6).</t>
  </si>
  <si>
    <t>Already included in Net Profit, but is separated to focus on the provide insight into production efficiency and profitibility. | Gross Margin = (Revenue - COGS) / Revenue; normalizes against company Target Min/Max. Re-tagged WEIGHTED_AVERAGE-&gt;NORMALIZED_RATIO 2026-06 (T3.6). | Min/Max seeded to default 0/1 — this ratio is already a 0-1 score; override only to score against a tighter target band. See reviews/min-max-sourcing.md (T1.2).</t>
  </si>
  <si>
    <t>€ total investment (incl. EC111/EC112) — re-tagged WEIGHTED_AVERAGE-&gt;SUM_AGGREGATE 2026-06 (T3.6).</t>
  </si>
  <si>
    <t>FORMULA_VALUE_STRATEGY</t>
  </si>
  <si>
    <t>Net Profit = Revenue - (COGS + Operating + Lifecycle Mgmt + EOL): a € difference, not a mean — re-tagged WEIGHTED_AVERAGE-&gt;FORMULA_VALUE 2026-06 (T3.6).</t>
  </si>
  <si>
    <t>EC12
EC2
EC3</t>
  </si>
  <si>
    <t>€ total of cost lines — re-tagged WEIGHTED_AVERAGE-&gt;SUM_AGGREGATE 2026-06 (T3.6).</t>
  </si>
  <si>
    <t>EC41
EC42
EC43
EC44
EC45
EC46
EC47</t>
  </si>
  <si>
    <t>EC1-5
EC47</t>
  </si>
  <si>
    <t>C13
C5</t>
  </si>
  <si>
    <t>C231
C232
C233</t>
  </si>
  <si>
    <t>Does not consider whether the materials are recycled in- or out-of-loop. | Min/Max seeded to default 0/1 — this ratio is already a 0-1 score; override only to score against a tighter target band. See reviews/min-max-sourcing.md (T1.2).</t>
  </si>
  <si>
    <t>Self-normalizes against company Target Min/Max (0-1 score); for C3-6 lower time is better — set Max=worst-acceptable time. Re-tagged from RAW_VALUE 2026-06 (T3.5).</t>
  </si>
  <si>
    <t>C1-5
C5-1
C5-2
C5-3
C5-4
C5-5</t>
  </si>
  <si>
    <t>End-of-Life Recoverability</t>
  </si>
  <si>
    <t>Measures the share of a product unit's mass that can be cycled back at end of life — reused, recycled, or repurposed — instead of becoming waste. Higher means more of the product is recoverable.</t>
  </si>
  <si>
    <t>To maximize the share of product mass that is recoverable at end of life.</t>
  </si>
  <si>
    <t>Recoverability = 1 - (Mass of Product Unit - Cyclable Potential) / Mass of Product Unit = Cyclable Potential / Mass of Product Unit</t>
  </si>
  <si>
    <t>End-of-Life Waste = (Mass of Product Unit - Cyclable Potential) / Mass — the product waste share, NORMALIZED against company Target Min/Max. 2026-06-25 (T3.6): folded in the former R121 (identical formula) and dropped the R1-5 reference-product-waste comparison (the Min/Max band already encodes the reference level); this removed the earlier kg-vs-share dimensional mismatch and its needs_review flag. | 2026-06-26: flipped direction (user decision). Was 'End-of-Life Waste' = (Mass - Cyclable)/Mass — a waste share (lower=better) that was never complemented, so it scored backwards under the higher=better normalization. Reformulated as the complement 1 - (Mass - Cyclable)/Mass = Cyclable/Mass = recoverable share (higher=better), renamed 'End-of-Life Recoverability', and seeded Min=0/Max=1 (now a bounded ratio; moved from PERFORMANCE_DIRECTION to SEED_01). See reviews/min-max-sourcing.md.</t>
  </si>
  <si>
    <t>Similar to "Circular EoL Handling" but not focused on the "R" principles. | Product Waste Share = (Mass - Cyclable Potential)/Mass; a real ratio (WEIGHTED_RATIO does not divide). Self-normalizes against company Target Min/Max. Re-tagged WEIGHTED_RATIO-&gt;NORMALIZED_RATIO 2026-06 (T3.6). | ARCHIVED 2026-06-25 (T3.6): folded into R12 (End-of-Life Waste), which now carries this exact (Mass - Cyclable)/Mass computation directly. Unwired; reversible.</t>
  </si>
  <si>
    <t>ARCHIVED 2026-06-25 (T3.6): the reference-product-waste comparison was dropped from R12 (the NORMALIZED Target Min/Max band already encodes the reference level). No longer scored; kept as a recordable figure. Reversible.</t>
  </si>
  <si>
    <t>R21
R22</t>
  </si>
  <si>
    <t>End User Energy Efficiency = Output/Input; a real ratio. Self-normalizes against company Target Min/Max. Re-tagged WEIGHTED_RATIO-&gt;NORMALIZED_RATIO 2026-06 (T3.6).</t>
  </si>
  <si>
    <t>EC5
EN41
R222</t>
  </si>
  <si>
    <t>https://www.iso.org/standard/71206.html</t>
  </si>
  <si>
    <t>ISO 14044</t>
  </si>
  <si>
    <t>Environmental management — Life cycle assessment — Requirements and guidelines</t>
  </si>
  <si>
    <t>https://www.iso.org/standard/38498.html</t>
  </si>
  <si>
    <t>ISO 14046</t>
  </si>
  <si>
    <t>Environmental management — Water footprint — Principles, requirements and guidelines</t>
  </si>
  <si>
    <t>https://www.iso.org/standard/43263.html</t>
  </si>
  <si>
    <t>ISO 59020</t>
  </si>
  <si>
    <t>Circular economy — Measuring and assessing circularity performance</t>
  </si>
  <si>
    <t>https://www.iso.org/standard/80650.html</t>
  </si>
  <si>
    <t>PSILCA</t>
  </si>
  <si>
    <t>Product Social Impact Life Cycle Assessment database</t>
  </si>
  <si>
    <t>Database</t>
  </si>
  <si>
    <t>https://psilca.net/</t>
  </si>
  <si>
    <t>ESRS S1</t>
  </si>
  <si>
    <t>European Sustainability Reporting Standard S1 — Own workforce</t>
  </si>
  <si>
    <t>Reporting Standard</t>
  </si>
  <si>
    <t>Cradle to Cradle Certified Product Standard</t>
  </si>
  <si>
    <t>C2C 5.2</t>
  </si>
  <si>
    <t>C2C 5.3</t>
  </si>
  <si>
    <t>ESRS E1-5</t>
  </si>
  <si>
    <t>ESRS E1-6</t>
  </si>
  <si>
    <t>ESRS E3 Water and marine resources</t>
  </si>
  <si>
    <t>European Sustainability Reporting Standard on water and marine resources, including water consumption, withdrawals and discharges (Commission Delegated Regulation (EU) 2023/2772).</t>
  </si>
  <si>
    <t>ESRS E3-4</t>
  </si>
  <si>
    <t>ESRS E5 Resource use and circular economy</t>
  </si>
  <si>
    <t>ESRS E5-2</t>
  </si>
  <si>
    <t>ESRS E5-4</t>
  </si>
  <si>
    <t>ESRS S1 Own workforce</t>
  </si>
  <si>
    <t>ESRS S1-1</t>
  </si>
  <si>
    <t>ESRS S1-14</t>
  </si>
  <si>
    <t>ESRS S1-6</t>
  </si>
  <si>
    <t>GRI 101: Biodiversity 2024</t>
  </si>
  <si>
    <t>GRI 101 sets out reporting requirements on biodiversity, including impacts on ecosystems, species and habitats across operations and the supply chain.</t>
  </si>
  <si>
    <t>GRI 101</t>
  </si>
  <si>
    <t>GRI 2: General Disclosures 2021</t>
  </si>
  <si>
    <t>GRI 2 contains disclosures about an organization's reporting practices, activities, workers, governance, strategy and policies.</t>
  </si>
  <si>
    <t>GRI 201: Economic Performance 2016</t>
  </si>
  <si>
    <t>GRI 201 covers economic performance, including the direct economic value generated and distributed by an organization.</t>
  </si>
  <si>
    <t>GRI 301: Materials 2016</t>
  </si>
  <si>
    <t>GRI 301 covers materials used by weight or volume, recycled input materials, and reclaimed products and their packaging.</t>
  </si>
  <si>
    <t>GRI 302: Energy 2016</t>
  </si>
  <si>
    <t>GRI 302-4</t>
  </si>
  <si>
    <t>GRI 303: Water and Effluents 2018</t>
  </si>
  <si>
    <t>GRI 303</t>
  </si>
  <si>
    <t>GRI 303-2</t>
  </si>
  <si>
    <t>GRI 303-4</t>
  </si>
  <si>
    <t>GRI 303-5</t>
  </si>
  <si>
    <t>GRI 306: Waste 2020</t>
  </si>
  <si>
    <t>GRI 306-3</t>
  </si>
  <si>
    <t>GRI 308: Supplier Environmental Assessment 2016</t>
  </si>
  <si>
    <t>GRI 308 covers the screening and assessment of suppliers using environmental criteria.</t>
  </si>
  <si>
    <t>GRI 401: Employment 2016</t>
  </si>
  <si>
    <t>GRI 401 covers employment, including new employee hires, employee turnover, and benefits provided to employees.</t>
  </si>
  <si>
    <t>GRI 403: Occupational Health and Safety 2018</t>
  </si>
  <si>
    <t>GRI 403</t>
  </si>
  <si>
    <t>GRI 403-10</t>
  </si>
  <si>
    <t>GRI 403-9</t>
  </si>
  <si>
    <t>GRI 416: Customer Health and Safety 2016</t>
  </si>
  <si>
    <t>ISO 14021</t>
  </si>
  <si>
    <t>Environmental labels and declarations — Self-declared environmental claims (Type II environmental labelling).</t>
  </si>
  <si>
    <t>https://www.iso.org/standard/66652.html</t>
  </si>
  <si>
    <t>Time-based disassembly method: how to assess the best disassembly sequence and time of target components in complex products</t>
  </si>
  <si>
    <t>Proposes a time-based method to determine the optimal disassembly sequence and to estimate the disassembly time of target components in complex products.</t>
  </si>
  <si>
    <t>https://doi.org/10.1007/s00170-017-1201-5</t>
  </si>
  <si>
    <t>EN 15804+A2 Module D</t>
  </si>
  <si>
    <t>Core rules for construction-product Environmental Product Declarations; Module D reports benefits and loads beyond the system boundary (reuse, recovery and recycling potential).</t>
  </si>
  <si>
    <t>SASB RT-250a.1</t>
  </si>
  <si>
    <t>SASB RT-CP-120a.1</t>
  </si>
  <si>
    <t>SASB RT-CP-140a.1</t>
  </si>
  <si>
    <t>SASB RT-CP-410a.2</t>
  </si>
  <si>
    <t>SASB RT-IG-440b.1</t>
  </si>
  <si>
    <t>SASB-RT-CP-110a.1</t>
  </si>
  <si>
    <t>Environmental impact and water footprint of biofuel production from macro-algae biomass based on life cycle assessment</t>
  </si>
  <si>
    <t>Life cycle assessment quantifying the environmental impact and water footprint of biofuel produced from macro-algae biomass.</t>
  </si>
  <si>
    <t>TF+25</t>
  </si>
  <si>
    <t>https://doi.org/10.1016/j.renene.2025.123612</t>
  </si>
  <si>
    <t>Water consumption from secondary sources</t>
  </si>
  <si>
    <t>JQ+25
JPL+19
EUPEF+21</t>
  </si>
  <si>
    <t>A part of PEF Impact Factor of Land Use (Pt.)
Raw m²a must be characterised (×CF) before feeding the PEF single score (EN9).</t>
  </si>
  <si>
    <t>AO+24
EUPEF+21</t>
  </si>
  <si>
    <t>Product-level adaptation of org-level EF/PEF impact category (EUPEF+21).</t>
  </si>
  <si>
    <t>PM model (Fantke et al., 2016) as in EF/PEF</t>
  </si>
  <si>
    <t>VZ+08
EUPEF+21</t>
  </si>
  <si>
    <t>The product's contribution to terrestrial eutrophication: deposition of excess nitrogen compounds (from sources such as fertilisers and emissions) onto soils, measured as accumulated exceedance of critical loads (mol N eq). Self-normalized against the EF terrestrial-eutrophication normalisation factor.</t>
  </si>
  <si>
    <t>ILCD2011
EUPEF+21</t>
  </si>
  <si>
    <t>ReCiPe2008
EUPEF+21</t>
  </si>
  <si>
    <t>ReCiPe2008
EUEP-FW
EUPEF+21</t>
  </si>
  <si>
    <t>Acidification</t>
  </si>
  <si>
    <t>FR+00
EUPEF+21</t>
  </si>
  <si>
    <t>Characterised result (CTUh, USEtox) ÷ EF normalisation factor (Target Max); Min = 0.</t>
  </si>
  <si>
    <t>USEtox2.0
EUPEF+21</t>
  </si>
  <si>
    <t>Characterised result (CTUe, USEtox) ÷ EF normalisation factor (Target Max); Min = 0.</t>
  </si>
  <si>
    <t>Characterised result (m³ deprived, AWARE) ÷ EF normalisation factor (Target Max); Min = 0.</t>
  </si>
  <si>
    <t>BA+17
EUPEF+21</t>
  </si>
  <si>
    <t>Characterised result (kg Sb eq, CML2002) ÷ EF normalisation factor (Target Max); Min = 0.</t>
  </si>
  <si>
    <t>OL+02
EUPEF+21</t>
  </si>
  <si>
    <t>Characterised result (MJ, CML2002) ÷ EF normalisation factor (Target Max); Min = 0.</t>
  </si>
  <si>
    <t>Costs of quality control to ensure recycled materials meet the required quality standards.</t>
  </si>
  <si>
    <t>A normalized (0–1) score for how well disassembly/repair instructions are provided — covering the availability, completeness and clarity of the product manual, exploded views and troubleshooting guidance. Self-normalized against the company's Target Min/Max band; higher means clearer, more complete instructions.</t>
  </si>
  <si>
    <t>(Instructions score - Min) / (Max - Min)</t>
  </si>
  <si>
    <t>DS+22
RM+23</t>
  </si>
  <si>
    <t>A normalized (0–1) score derived from the time required to fully disassemble the product (raw input in minutes). Self-normalized against the company's Target Min/Max band, where less disassembly time is better — so the Max is set to the worst-acceptable disassembly time. Higher score means faster, easier disassembly.</t>
  </si>
  <si>
    <t>MM+17
VP+18</t>
  </si>
  <si>
    <t>MCI+25
CS+16</t>
  </si>
  <si>
    <t>Holds product mass M; C4 applies the ×2 (total mass flow 2M) per MCI Eq. 2.10.</t>
  </si>
  <si>
    <t>Shared denominator: also feeds EC5 (CO2 cost) and EN41 (water intensity). Intentional cross-domain reuse — keep a single canonical produced-units figure.</t>
  </si>
  <si>
    <t>The total amount of energy coming into the system's boundary throughout the product's lifecycle, measured in the previous (baseline) timeframe — used as the comparison baseline for the energy-inflow reduction in R224.</t>
  </si>
  <si>
    <t>ESRS E3-4
GRI 303-5
SASB RT-CP-130a.1</t>
  </si>
  <si>
    <t>Quantitative water-consumed datapoint is SASB RT-CP-130a.1 (not 140a.1, which is the qualitative water-risk discussion); grounded by ESRS E3-4 + GRI 303-5. AM+22 source not in corpus.</t>
  </si>
  <si>
    <t>Product-level water-discharge adaptation (product boundary vs. org facility); grounded by GRI 303-4. AM+22 source not in corpus.</t>
  </si>
  <si>
    <t>Number of suppliers certified from ethical standard bodies such as the Global Organic Textile Standard (GOTS), Fairmined, Fair Trade USA, the Rainforest Alliance, etc.</t>
  </si>
  <si>
    <t>The total number of customer-service inquiries and complaints received in a given timeframe; denominator of S23 (response-time average) and S24 (service-satisfaction average).</t>
  </si>
  <si>
    <t>Aggregate result of employee satisfaction/engagement surveys (e.g. CSAT/eNPS), used as the numerator of S31.</t>
  </si>
  <si>
    <t>Wage-adequacy against local cost of living, scored 0–1 by comparing average employee salary (S3-6) to the local cost of living and benchmarking against a company target (per PSILCA's salary/living-wage ratio).</t>
  </si>
  <si>
    <t>Self-normalized 0–1 wage-adequacy component of S34 (input unit € is the raw input unit); scored against a company target, not a living-wage denominator (open re-model question, out of scope this pass).</t>
  </si>
  <si>
    <t>Average employee salary scored 0–1 by comparison to a company wage-adequacy target (e.g. salary vs local cost of living / living wage, per PSILCA p.38). Higher means pay is more adequate relative to the local standard of living.</t>
  </si>
  <si>
    <t>Self-normalized 0–1 salary-adequacy component of S34 (input unit € is the raw input unit); GRI 201-1 grounds the absolute-salary figure, PSILCA the salary/living-wage normalization.</t>
  </si>
  <si>
    <t>Jobs created for the product, scored 0–1 against a company job-creation target. Based on GRI 401-1 new-hire count, normalized so a higher score means more jobs created relative to target.</t>
  </si>
  <si>
    <t>Self-normalized 0–1 job-creation component of S34 (input unit # is the raw input unit); GRI 401-1 grounds the new-hire count, normalized against a company target.</t>
  </si>
  <si>
    <t>A composite measure that evaluates the sustainability performance of an individual product line by integrating results from the five top-level KPIs (Resource Efficiency, Circular Efforts, Environmental Impact, Economic Viability, and Social Impact). This KPI reflects the product's ability to meet sustainability criteria throughout its lifecycle.</t>
  </si>
  <si>
    <t>The Environmental Impact measures the overall ecological footprint of a product throughout its lifecycle, integrating SubKPIs that quantify specific aspects that directly affect the environment.</t>
  </si>
  <si>
    <t xml:space="preserve">To assess and improve the ecological sustainability of the product.
To identify specific areas for improvement and implement strategies to reduce their overall environmental footprint.
To prepare for the EU's environmental footprint requirements.
</t>
  </si>
  <si>
    <t>Economic Viability</t>
  </si>
  <si>
    <t>The Circular Efforts measures the extent to which a product contributes to a circular economy through its existing processes, integrating SubKPIs that quantify specific aspects of R-principles throughout the product's lifecycle. This KPI helps organizations assess and improve their current processes in the context of circularity.</t>
  </si>
  <si>
    <t>To evaluate how well a product aligns with circular economy principles, emphasizing reuse, repair, recycling and waste reduction.
To pinpoint specific areas for enhancement in product design, materials sourcing, and end-of-life management.
To convey circularity initiatives to stakeholders through the product's design and business model.</t>
  </si>
  <si>
    <t>To quantify the positive effects of sustainability initiatives on society.
To ensure that organizations are accountable for their social contributions.
To communicate the product's impact effectively to stakeholders, so the product is seen positively by its customers.
To show that the product is made from sustainable suppliers.</t>
  </si>
  <si>
    <t>Sum (weight * EN1 + … + weight * EN8)</t>
  </si>
  <si>
    <t>Aggregates the product's carbon-footprint performance into one score by combining its industry benchmark (EN11), improvement versus previous versions (EN12), and reduction rate over time (EN13). Provides an actionable overview for improving the product's climate performance.</t>
  </si>
  <si>
    <t>Sum (weight * EN11 + weight * EN12 + weight * EN13)</t>
  </si>
  <si>
    <t>Measures the PCF performance comparison of a product compared to previous versions to indicate improvement in the product's life cycle.</t>
  </si>
  <si>
    <t>Measures the percentage reduction in the product's absolute PCF (EN1-4) over time, comparing the current value against an earlier base period. Tracks progress toward the product's climate targets.</t>
  </si>
  <si>
    <t>A part of PEF Impact Factor of Climate Change (kg CO₂ eq.)
Product-level adaptation: cited ESRS E1-6 / IFRS S2 report org-level total GHG; this is the product carbon footprint (PCF).</t>
  </si>
  <si>
    <t>GRI 303
ISO 14046</t>
  </si>
  <si>
    <t>Aggregates the product's handling of hazardous waste and hazardous materials into one score by combining the hazardous-waste minimization rate (EN31) and the hazardous-material share (EN32). Higher scores mean less hazardous waste generated and a smaller share of hazardous materials in the product.</t>
  </si>
  <si>
    <t>Measures the reduction in toxic waste generation throughout the product lifecycle.</t>
  </si>
  <si>
    <t>Measures the share of the product's total material mass that is non-hazardous, computed as one minus the ratio of hazardous-material mass (EN3-2) to total material mass (EN3-3). Higher when a smaller fraction of the product is made of hazardous materials.</t>
  </si>
  <si>
    <t>ESRS E5-5
GRI 306-3</t>
  </si>
  <si>
    <t>Aggregates the product's water-footprint performance into one score by combining its water-use intensity (EN41), water-footprint reduction over time (EN42), and water-independence ratio (EN43). Provides an actionable overview for tracking and improving the product's water performance across its life cycle.</t>
  </si>
  <si>
    <t>Sum (weight * EN41 + weight * EN42 + weight * EN43)</t>
  </si>
  <si>
    <t>Aggregates the product's per-stage water footprints (sourcing EN441, production EN442, distribution EN443, use &amp; maintenance EN444, end-of-life EN445) into one weighted-average lifecycle ratio, to identify which stage dominates water use. (Archived — requires per-stage water inputs.)</t>
  </si>
  <si>
    <t>To reduce the product's pollutant emissions and their harm to people and ecosystems.</t>
  </si>
  <si>
    <t>Weighted average of the eight children's normalized scores (EF normalize → EF-weight → sum).</t>
  </si>
  <si>
    <t>Contains 8 PEF impact factors | PEF/EF: enter each child's EF normalisation factor as its Target Max (Min=0) and its EF weighting factor as its Weight — values from the JRC EF reference package (eplca.jrc.ec.europa.eu/LCDN).</t>
  </si>
  <si>
    <t>To reduce the product's toxic impact on human health and ecosystems.</t>
  </si>
  <si>
    <t>Weighted average of the three normalized toxicity sub-categories (EN7-1, EN7-2, EN7-3).</t>
  </si>
  <si>
    <t>Contains 3 PEF impact factors | PEF/EF: enter each child's EF normalisation factor as its Target Max (Min=0) and its EF weighting factor as its Weight — values from the JRC EF reference package (eplca.jrc.ec.europa.eu/LCDN).</t>
  </si>
  <si>
    <t>To reduce the product's depletion of scarce water, mineral, metal, and fossil resources.</t>
  </si>
  <si>
    <t>Weighted average of the three normalized resource sub-categories (EN8-1, EN8-2, EN8-3).</t>
  </si>
  <si>
    <t>Each impact factor is normalized to a "global average person's emissions over one year."
Then weighted as instructed in the EF guidelines.
The weighted, normalized results are summed across categories to the PEF single score.</t>
  </si>
  <si>
    <t>PEF/EF: enter each child's EF normalisation factor as its Target Max (Min=0) and its EF weighting factor as its Weight — values from the JRC EF reference package (eplca.jrc.ec.europa.eu/LCDN). EN5-2 land use uses the 'pt' indicator, not m2a/FU.
PEF single score: each child must carry its EF normalisation factor (Target Max, Min=0) and EF weighting factor (Weight); EN5-2 feeds the characterised 'pt' result, not raw m²a/FU. Sum-to-1 note: EN9 reuses the same impact-category rows that EN0 already weights, and each row has a single shared Weight cell, so EN9's children do not sum to 1 — this is expected, not an error.</t>
  </si>
  <si>
    <t>Aggregates the product's economic performance into a single weighted score from its five level-2 indicators: Return on Investment (EC1), Gross Margin (EC2), Market Share Fulfillment (EC3), Circular Service Viability (EC4) and CO2 Cost Performance (EC5). Provides one figure for how financially and commercially viable the product and its circular services are.</t>
  </si>
  <si>
    <t>Sum (weight * EC1 + ... + weight * EC5)</t>
  </si>
  <si>
    <t>Return generated by the product (Net Profit, EC12) relative to the total investment it required over the chosen time frame (Total Investment Cost, EC11 — development, marketing, operating, lifecycle-management and end-of-life costs). Indicates whether the product investment is worthwhile; the resulting ratio is normalized against a company-set target band (Min/Max) to produce the score.</t>
  </si>
  <si>
    <t>Total recurring in-life cost of the product's circular services — repair (EC411), refurbishment (EC421), repurpose (EC431) and remanufacturing (EC461) costs — incurred while the product is in use.</t>
  </si>
  <si>
    <t>Repair Costs +
Refurbishment Costs +
Repurpose Costs +
Remanufacturing Costs</t>
  </si>
  <si>
    <t>Total end-of-life cost of the product — recycling (EC441) and recovery (EC451) costs incurred at the end of the product's life.</t>
  </si>
  <si>
    <t>Total cost of producing the product — material (EC1-5), labor (EC1-6), overhead (EC1-7), packaging (EC1-8) and logistics (EC1-9) costs. The exact cost lines depend on the accounting scheme (e.g. HGB vs IFRS define COGS differently).</t>
  </si>
  <si>
    <t>Material Costs +
Labor Costs +
Overhead Costs +
Packaging Costs +
Logistics Costs</t>
  </si>
  <si>
    <t>Measures the product's market share — its revenue (EC1-4) as a fraction of the total market revenue for comparable products (EC3-1) — and scores that share against a company-set target band. Higher means the product captures more of its market relative to the target.</t>
  </si>
  <si>
    <t>Min/Max seeded to default 0/1 — this ratio is already a 0-1 score; override only to score against a tighter target band. See reviews/min-max-sourcing.md (T1.2).
Market-share concept per RE+20 (competitive-advantage indicator); the Revenue/Total-Market ratio and target-band scoring are author-defined.</t>
  </si>
  <si>
    <t>Aggregates the economic viability of the product's circular service pathways into one score. Combines the per-pathway cost-vs-profit (or cost-vs-savings) sub-scores for repair (EC41), refurbishment (EC42), repurpose (EC43), recycling (EC44), recovery (EC45) and remanufacturing (EC46), together with the circular-material cost comparison (EC47), to prioritise which circular efforts are worth scaling.</t>
  </si>
  <si>
    <t>Sum (weight * EC41 + ... + weight * EC47)</t>
  </si>
  <si>
    <t>Cost/profit viability ratio is author-defined; repair concept per DIN SPEC 91472 (3.9) / R4.</t>
  </si>
  <si>
    <t>Costs associated to ensure that the product functions correctly according to standards after repair.</t>
  </si>
  <si>
    <t>Cost/profit viability ratio author-defined; refurbishment per DIN SPEC 91472 (3.6) / R5.</t>
  </si>
  <si>
    <t>Costs associated to ensure that the product functions correctly according to standards after refurbishment.</t>
  </si>
  <si>
    <t>Cost/profit viability ratio author-defined; repurpose = R7 (FAC+21). No standalone repurpose definition in the cited corpus.</t>
  </si>
  <si>
    <t>Savings/cost viability ratio author-defined; recycling per DIN SPEC 91472 (3.5) / R8.</t>
  </si>
  <si>
    <t>Savings/cost viability ratio author-defined; recovery per ISO 59020 (8.4.5) / R9.</t>
  </si>
  <si>
    <t>Scores the economic viability of remanufacturing (R6) by comparing remanufacturing profits (EC4-24) against remanufacturing costs (EC461): higher when revenue from selling remanufactured, as-new-warranted units outweighs the remanufacturing cost.</t>
  </si>
  <si>
    <t>Profit/cost viability ratio author-defined; remanufacturing per DIN SPEC 91472 (3.7) / R6.</t>
  </si>
  <si>
    <t>R6 Material Costs +
R6 Diagnostic Costs +
R6 Repair Costs +
R6 QA / Testing Costs +
R6 Logistics Costs +
R6 Dis-/Assembly Costs</t>
  </si>
  <si>
    <t>DIN SPEC 91472</t>
  </si>
  <si>
    <t>Compares the cost of non-virgin (secondary) materials used in production against the cost of their virgin counterparts. A higher non-virgin-to-virgin cost ratio signals greater reliance on circular materials; the score is then normalised against a target band. (Author convention: the band is set so that economically sound circular-material use scores well.)</t>
  </si>
  <si>
    <t>Virgin-vs-cycled material concept per C2C Product Circularity §5.3; cost-ratio and viability assumption author-defined.</t>
  </si>
  <si>
    <t>CROSS-DOMAIN: reuses EN1-4 (product carbon footprint, EN domain) and R2-7 (produced units, Resource Efficiency domain) as shared inputs by design. Per-unit CO2-cost construction is author-defined (UNVERIFIABLE); CO2 price is the external nEHS price (EC5-1).</t>
  </si>
  <si>
    <t>Aggregates the product's circular-economy performance into one score by combining the five level-2 circular indicators: reclamation efficiency (C1), process quality and performance (C2), design for circularity (C3), the circular flow index (C4) and circular end-of-life handling (C5). Covers the implementation and process of circular (R-strategy) principles only; it excludes social, cost, environmental and efficiency aspects, which are scored in their own domains.</t>
  </si>
  <si>
    <t>Sum (weight * C1 + weight * C2 + weight * C3 + weight * C4 + weight * C5)</t>
  </si>
  <si>
    <t>Aggregates how effective the product's return and reclamation processes are, combining the reclaimed-packaging rate (C11), the end-of-life product take-back rate (C12), and the recovery yield of the reclaimed products (C13). Indicates how much of what is sold returns and how usefully it is recovered.</t>
  </si>
  <si>
    <t>C2C 5.2
GRI 301-3
CS+16</t>
  </si>
  <si>
    <t>SASB has no direct reclamation-rate metric (RT-CP-250a.1 is chemicals-of-concern; RT-CP-410a.2 is revenue-based) — dropped SASB RT-250a.1 as off-topic.</t>
  </si>
  <si>
    <t>Min/Max seeded to default 0/1 — this ratio is already a 0-1 score; override only to score against a tighter target band. See reviews/min-max-sourcing.md (T1.2).
Weight-based, packaging-only adaptation of GRI 301-3 (which is count-based over products sold and combines products + packaging).</t>
  </si>
  <si>
    <t>Aggregates the product's circular-process performance into one score by combining the refurbishment (C21), repair (C22), and remanufacturing (C23) process sub-scores. Provides an overview of all circular processes to locate potential improvements.</t>
  </si>
  <si>
    <t>Sum (weight * C21 + weight * C22 + weight * C23)</t>
  </si>
  <si>
    <t>Refurbishment here = restore-to-resalable; DIN SPEC 91472 §3.6 defines refurbishment as not placed on the market — product-level adaptation.</t>
  </si>
  <si>
    <t>Aggregates the remanufacturing process into one score by combining the remanufactured-component share (C231), the restored-component share (C232), and the remanufacture success rate (C233). Reflects the ability to restore used products to at least new-equivalent quality while maximizing reuse of secondary components.</t>
  </si>
  <si>
    <t>Sum (weight * C231 + weight * C232 + weight * C233)</t>
  </si>
  <si>
    <t>Measures the share of a remanufactured unit's components that are remanufactured (secondary-origin) parts, computed as remanufactured components (C2-13) ÷ total component inflow (C2-11). Higher means a larger fraction of the unit is built from restored/secondary components rather than new ones.</t>
  </si>
  <si>
    <t>Ratio = Total components remanufactured (C2-13) / Total components inflow (C2-11)
(Ratio - Min) / (Max - Min)</t>
  </si>
  <si>
    <t>Measures the remanufacturing output volume — the total number of units successfully remanufactured (C2-14) — normalized against a target band. Higher means more units are remanufactured to new-equivalent standard.</t>
  </si>
  <si>
    <t>Measures the share of the product's total mass made of components designed to be remanufactured — i.e. restored to at-least-as-new functionality and reused in a new product (remanufacturable component weight ÷ total product weight). Higher means more of the product is designed for value-retaining remanufacturing.</t>
  </si>
  <si>
    <t>Remanufacturability = Remanufacturable Component Weight / Total Product weight
(Remanufacturability - Min) / (Max - Min)</t>
  </si>
  <si>
    <t>ISO 59020
ESRS E5-5
DIN SPEC 91472</t>
  </si>
  <si>
    <t>Min/Max seeded to default 0/1 — this ratio is already a 0-1 score; override only to score against a tighter target band. See reviews/min-max-sourcing.md (T1.2).
Product-level design share of remanufacturable components; remanufacturing concept per DIN SPEC 91472 / ESRS E5; the weight-share formula is author-defined.</t>
  </si>
  <si>
    <t>Min/Max seeded to default 0/1 — this ratio is already a 0-1 score; override only to score against a tighter target band. See reviews/min-max-sourcing.md (T1.2).
Product-level design share of repurposable components; repurposing concept per WS+24 / ESRS E5; the weight-share formula is author-defined (WS+24 gives a qualitative attribute basis, not a mass-share metric).</t>
  </si>
  <si>
    <t>Measures how easily the product can be disassembled at end of life, combining two normalized (0–1) sub-scores: the availability and clarity of disassembly instructions (C3-5) and the product's disassembly time (C3-6, where less time scores better). Higher means lower labour/time to separate components and materials, enabling higher recovery rates.</t>
  </si>
  <si>
    <t>RM+23
VP+18
DS+22
MM+17</t>
  </si>
  <si>
    <t>Scores the circularity of the product's material flow as one minus the share of material that flows linearly — i.e. one minus the proportion sourced from virgin resources (C4-1) and ending as unrecoverable waste (C4-2), relative to the total mass flow (C4-3). Higher means a more restorative, less linear material flow. Adapts the Ellen MacArthur Foundation Material Circularity Indicator (Linear Flow Index), without the product-utility factor.</t>
  </si>
  <si>
    <t>1 - (Virgin Material Inflow + Wasted Material Outflow) / (2 * Total Mass Flow)</t>
  </si>
  <si>
    <t>Does not consider the amount of non-usable components due to reclamation damages. The quality of reclamation is in another KPI. | Min/Max seeded to default 0/1 — this ratio is already a 0-1 score; override only to score against a tighter target band. See reviews/min-max-sourcing.md (T1.2).
Product-level adaptation of ISO 59020 §A.3.3 (Formula A.5) / Figure A.2 outflow-circularity: circular outflow mass ÷ total reclaimed outflow mass; ISO splits reuse/recycle/renewable-recirculation, here grouped as refurbish/remanufacture/repurpose/recycle.</t>
  </si>
  <si>
    <t>Aggregates the product's overall resource efficiency into one score by combining its material efficiency (R1), energy efficiency (R2), and water efficiency (R3). Provides one figure to prioritize material-, energy-, and water-saving and circularity actions.</t>
  </si>
  <si>
    <t>Sum (weight * R1 + weight * R2 + weight * R3)</t>
  </si>
  <si>
    <t>Aggregates the product's material-efficiency performance into one score by combining how much of the resource outflow is reutilized as material of value (R11) and how much of the product's mass is recoverable at end of life (R12). Higher means more material is kept in use and less becomes waste.</t>
  </si>
  <si>
    <t>Sum (weight * R111 + weight * R112)</t>
  </si>
  <si>
    <t>ISO 59020
C2C</t>
  </si>
  <si>
    <t>Org-&gt;product adaptation: the reutilization share concept is grounded in ISO 59020 A.3.3 (reused mass / total outflow mass), applied here at product level. ACM+17 source not in corpus; ISO 59020 is the retrievable ground.</t>
  </si>
  <si>
    <t>Measures the share of the production's total byproduct outflow (R1-1) that is repurposed into another external product or system (R1-3). Higher means more outflow finds value outside the original lifecycle.</t>
  </si>
  <si>
    <t>Aggregates the product's energy performance into one score by combining its energy-recovery performance (R21) and its energy-consumption performance (R22). Higher means more energy is recovered/reused and less is consumed per output across the product's life cycle.</t>
  </si>
  <si>
    <t>Sum (weight * R21 + weight * R22)</t>
  </si>
  <si>
    <t>ISO 59020
SASB RT-CP-130a.1
Module D - EN15804+A2</t>
  </si>
  <si>
    <t>ISO 59020
Module D - EN15804+A2</t>
  </si>
  <si>
    <t>Measures the share of recovered/generated energy (R2-2) that is put into storage rather than immediately reused — stored energy (R2-4) ÷ generated energy (R2-2), in any form (electricity, heat, etc.). Higher means more recovered energy is buffered for later use.</t>
  </si>
  <si>
    <t>Measures how efficiently the product converts supplied energy into useful output during the use phase — operational output energy (R2-5) ÷ operational input energy (R2-6). Higher means less energy is wasted to deliver the same product function.</t>
  </si>
  <si>
    <t>ESRS E1-5
GRI 302-4
SASB RT-EE-130a.1</t>
  </si>
  <si>
    <t>Aggregates the product's water-efficiency performance into one score by combining its water-savings performance (R31, treatment + reuse), its water-consumption reduction over time (R32), and its water-utilization efficiency (R33, intake vs. discharge). Provides an overview for prioritizing water-saving and circular-water actions across the product's life cycle.</t>
  </si>
  <si>
    <t>Min/Max seeded to default 0/1 — this ratio is already a 0-1 score; override only to score against a tighter target band. See reviews/min-max-sourcing.md (T1.2).
Product-level treated-water share; GRI 303-2 grounds treatment-to-a-quality-standard, but the treated÷outflow share is author-defined (AM+22 source not in corpus).</t>
  </si>
  <si>
    <t>Min/Max seeded to default 0/1 — this ratio is already a 0-1 score; override only to score against a tighter target band. See reviews/min-max-sourcing.md (T1.2).
Product-level reused-water share; adapts ESRS E3-4 'total water recycled and reused (m3)' to a share of outflow. Band author-defined.</t>
  </si>
  <si>
    <t>Measures the reduction in the product's water consumption relative to a previous period, computed as the ratio of current to previous water consumption (R3-4 against its previous-period reference). Lower is better — a smaller ratio means a larger reduction — so it is scored against an inverted target band (Min &gt; Max).</t>
  </si>
  <si>
    <t>Lower-is-better: set an inverted Target Min/Max band (Min &gt; Max) so a smaller current/previous ratio scores higher. See reviews/min-max-sourcing.md (band direction).</t>
  </si>
  <si>
    <t>The Social Impact measures the social value created by the product’s sustainability and circularity initiatives. It helps evaluate how these efforts translate to societal well-being and how viable the product is from a social aspect.</t>
  </si>
  <si>
    <t>Measures the share of the product's suppliers that hold a recognised ethical or fair-trade certification (certified ethical suppliers ÷ total suppliers). Higher means more of the supply chain is independently certified against ethical labour and sourcing standards.</t>
  </si>
  <si>
    <t>GRI 414-1</t>
  </si>
  <si>
    <t>ISO 26000
GRI 204-1</t>
  </si>
  <si>
    <t>Min/Max seeded to default 0/1 — this ratio is already a 0-1 score; override only to score against a tighter target band. See reviews/min-max-sourcing.md (T1.2).
Product-level local-supplier *count* share; GRI 204-1 and ISO 26000 frame local sourcing by procurement *spend*, not supplier count — count basis is the author's simplification. 'Local' = community, else same country (see S1-3).</t>
  </si>
  <si>
    <t>Customer Well-Being Score</t>
  </si>
  <si>
    <t>Aggregates the product's effect on customer well-being into one score by combining customer satisfaction (S21), product health &amp; safety (S22), customer-service timeliness (S23) and customer-service satisfaction (S24). Reflects the overall customer experience and quality of life delivered by the product.</t>
  </si>
  <si>
    <t>Measures the average customer satisfaction of the product. Reflects consumer's perception of quality, reliability, and overall value of products. Needs a robust, standardized framework and methodology i.e. CSAT, NPS, CES, SERVQUAL, etc.</t>
  </si>
  <si>
    <t>Measures product health &amp; safety as one minus the customer-incident rate — i.e. 1 − (reported customer safety incidents (S2-4) ÷ number of customers (S2-3)). Higher means fewer product-use safety incidents per customer.</t>
  </si>
  <si>
    <t>S2-3
S2-4</t>
  </si>
  <si>
    <t>Min/Max seeded to default 0/1 — this ratio is already a 0-1 score; override only to score against a tighter target band. See reviews/min-max-sourcing.md (T1.2).
Product-level safety-rate complement; adapts GRI 416-2 incident disclosure / ISO 26000 §6.7.4. Rate construction author-defined.</t>
  </si>
  <si>
    <t>Author-defined service-responsiveness ratio; concept per ISO 26000 §6.7.6. Band must be inverted (faster = better).</t>
  </si>
  <si>
    <t>Measures average satisfaction with the customer-service response — the mean service-feedback rating across handled inquiries (service feedback results (S2-7) ÷ number of inquiries (S2-6)), normalized to a target band. Distinct from S21 (product satisfaction): S24 rates the support experience.</t>
  </si>
  <si>
    <t>Service-satisfaction (support), distinct from S21 product-satisfaction; ISO 10004 grounds satisfaction measurement.</t>
  </si>
  <si>
    <t>Aggregates the product's workforce-welfare performance into one score by combining employee satisfaction (S31), the local-employment rate (S32), employee health and safety (S33), and the social-economic contribution to the workforce (S34). Higher means better working conditions and stronger socio-economic benefits for the people who make the product.</t>
  </si>
  <si>
    <t>Measures average employee satisfaction with working on the product, from staff feedback surveys (e.g. CSAT/eNPS), normalized against a company target band.</t>
  </si>
  <si>
    <t>GRI 403
ESRS S1-14</t>
  </si>
  <si>
    <t>Aggregates the product's socio-economic contribution to its workforce into one score by combining wage adequacy vs local cost of living (S3-5/S3-6), employee remuneration level (S3-6), and job creation (S3-7) — each scored 0–1 against a company target — then weight-averaging them. Designed for internal cross-site comparison.</t>
  </si>
  <si>
    <t>“Preparing for Active Cycling” — designing and enabling the product to be recovered and cycled (recycled or composted) at end of use. Section 5.2, Product Circularity category, Cradle to Cradle Certified Product Standard v4.1.</t>
  </si>
  <si>
    <t>“Increasing Demand: Incorporating Cycled and/or Renewable Content” — the share of cycled (recycled) and/or renewable content in the product. Section 5.3, Product Circularity category, Cradle to Cradle Certified Product Standard v4.1.</t>
  </si>
  <si>
    <t>Targets related to climate change mitigation and adaptation. Disclosure Requirement E1-4 of ESRS E1 Climate change (Commission Delegated Regulation (EU) 2023/2772).</t>
  </si>
  <si>
    <t>Energy consumption and mix. Disclosure Requirement E1-5 of ESRS E1 Climate change (Commission Delegated Regulation (EU) 2023/2772).</t>
  </si>
  <si>
    <t>Gross Scopes 1, 2, 3 and total GHG emissions. Disclosure Requirement E1-6 of ESRS E1 Climate change (Commission Delegated Regulation (EU) 2023/2772).</t>
  </si>
  <si>
    <t>Actions and resources related to resource use and the circular economy. Disclosure Requirement E5-2 of ESRS E5 Resource use and circular economy (Commission Delegated Regulation (EU) 2023/2772).</t>
  </si>
  <si>
    <t>Resource inflows — the materials used by the undertaking and their circularity. Disclosure Requirement E5-4 of ESRS E5 Resource use and circular economy (Commission Delegated Regulation (EU) 2023/2772).</t>
  </si>
  <si>
    <t>Resource outflows — the products, materials and waste leaving the undertaking. Disclosure Requirement E5-5 of ESRS E5 Resource use and circular economy (Commission Delegated Regulation (EU) 2023/2772).</t>
  </si>
  <si>
    <t>Policies related to the undertaking's own workforce. Disclosure Requirement S1-1 of ESRS S1 Own workforce (Commission Delegated Regulation (EU) 2023/2772).</t>
  </si>
  <si>
    <t>Health and safety metrics for the undertaking's own workforce. Disclosure Requirement S1-14 of ESRS S1 Own workforce (Commission Delegated Regulation (EU) 2023/2772).</t>
  </si>
  <si>
    <t>Characteristics of the undertaking's employees. Disclosure Requirement S1-6 of ESRS S1 Own workforce (Commission Delegated Regulation (EU) 2023/2772).</t>
  </si>
  <si>
    <t>Energy consumption outside of the organization — upstream and downstream energy use across the value chain. Disclosure 302-2 of GRI 302: Energy 2016.</t>
  </si>
  <si>
    <t>Energy intensity — energy consumption relative to an organization-specific denominator (e.g. per unit of output). Disclosure 302-3 of GRI 302: Energy 2016.</t>
  </si>
  <si>
    <t>Reduction of energy consumption achieved as a direct result of conservation and efficiency initiatives. Disclosure 302-4 of GRI 302: Energy 2016.</t>
  </si>
  <si>
    <t>Reductions in the energy requirements of products and services. Disclosure 302-5 of GRI 302: Energy 2016.</t>
  </si>
  <si>
    <t>Topic standard on water withdrawal, discharge and consumption, and the management of water-related impacts. GRI 303: Water and Effluents 2018.</t>
  </si>
  <si>
    <t>Management of water discharge-related impacts, including the minimum standards set for effluent quality. Disclosure 303-2 of GRI 303: Water and Effluents 2018.</t>
  </si>
  <si>
    <t>Water discharge — total volume of water discharged by destination, with quality and treatment. Disclosure 303-4 of GRI 303: Water and Effluents 2018.</t>
  </si>
  <si>
    <t>Water consumption — total water consumed, including consumption in water-stressed areas. Disclosure 303-5 of GRI 303: Water and Effluents 2018.</t>
  </si>
  <si>
    <t>Waste generated — total weight of waste generated, broken down by composition. Disclosure 306-3 of GRI 306: Waste 2020.</t>
  </si>
  <si>
    <t>Waste diverted from disposal — waste recovered through preparation for reuse, recycling and other recovery operations. Disclosure 306-4 of GRI 306: Waste 2020.</t>
  </si>
  <si>
    <t>Topic standard on occupational health and safety: management systems, hazard identification and risk management, worker participation, and work-related injuries and ill health. GRI 403: Occupational Health and Safety 2018.</t>
  </si>
  <si>
    <t>Work-related ill health — fatalities and recordable cases of work-related ill health, and the main types. Disclosure 403-10 of GRI 403: Occupational Health and Safety 2018.</t>
  </si>
  <si>
    <t>Work-related injuries — rates and numbers of fatalities, high-consequence injuries and recordable work-related injuries. Disclosure 403-9 of GRI 403: Occupational Health and Safety 2018.</t>
  </si>
  <si>
    <t>Topic standard on the health and safety impacts of products and services on customers. GRI 416: Customer Health and Safety 2016.</t>
  </si>
  <si>
    <t>Incidents of non-compliance concerning the health and safety impacts of products and services. Disclosure 416-2 of GRI 416: Customer Health and Safety 2016.</t>
  </si>
  <si>
    <t>Number of recalls issued and total units recalled. SASB RT-CP-250a.1 (Containers &amp; Packaging — Product Safety).</t>
  </si>
  <si>
    <t>Air emissions of NOx (excluding N₂O), SOx, volatile organic compounds (VOCs) and particulate matter (PM). SASB RT-CP-120a.1 (Containers &amp; Packaging — Air Quality).</t>
  </si>
  <si>
    <t>Total energy consumed, percentage grid electricity, percentage renewable, and total self-generated energy. SASB RT-CP-130a.1 (Containers &amp; Packaging — Energy Management).</t>
  </si>
  <si>
    <t>Total water withdrawn and total water consumed, with the percentage of each in regions with High or Extremely High Baseline Water Stress. SASB RT-CP-140a.1 (Containers &amp; Packaging — Water Management).</t>
  </si>
  <si>
    <t>Revenue from products that are reusable, recyclable, or compostable. SASB RT-CP-410a.2 (Containers &amp; Packaging — Product Lifecycle Management).</t>
  </si>
  <si>
    <t>Total energy consumed, percentage grid electricity, and percentage renewable. SASB RT-EE-130a.1 (Electrical &amp; Electronic Equipment — Energy Management).</t>
  </si>
  <si>
    <t>Revenue from remanufactured products and remanufacturing services, including discussion of efforts to obtain end-of-life products and parts for remanufacture. SASB RT-IG-440b.1 (Industrial Machinery &amp; Goods — Remanufacturing Design &amp; Services).</t>
  </si>
  <si>
    <t>Gross global Scope 1 emissions and the percentage covered under emissions-limiting regulations. SASB RT-CP-110a.1 (Containers &amp; Packaging — Greenhouse Gas Emissions).</t>
  </si>
  <si>
    <t>Remanufacturing (Reman) – Quality classification for circular processes</t>
  </si>
  <si>
    <t>DIN SPEC 91472:2023-06. Specifies value-retention processes and a quality classification for remanufacturing (Reman) within circular processes — process chain, classification, and the process-quality matrix.</t>
  </si>
  <si>
    <t>GRI 414: Supplier Social Assessment 2016</t>
  </si>
  <si>
    <t>GRI 414 covers the screening and assessment of suppliers using social criteria. Disclosure 414-1 — New suppliers that were screened using social criteria — reports the percentage of new suppliers screened using social criteria (human rights, labour, health &amp; safety and related topics).</t>
  </si>
  <si>
    <t>GRI 204: Procurement Practices 2016</t>
  </si>
  <si>
    <t>GRI 204 addresses an organization's procurement practices, including support for local suppliers. Disclosure 204-1 — Proportion of spending on local suppliers — reports the percentage of the procurement budget spent on suppliers local to significant locations of operation, with the organization's definition of 'local'.</t>
  </si>
  <si>
    <t>GRI 204-1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</si>
</sst>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sz val="11"/>
      <name val="Calibri"/>
      <family val="2"/>
      <scheme val="minor"/>
    </font>
    <font>
      <sz val="8"/>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1"/>
      <color theme="1"/>
      <name val="Aptos Narrow"/>
      <family val="2"/>
    </font>
    <font>
      <strike/>
      <sz val="11"/>
      <color theme="1"/>
      <name val="Calibri"/>
      <family val="2"/>
      <scheme val="minor"/>
    </font>
    <font>
      <b/>
      <sz val="11"/>
      <name val="Calibri"/>
      <family val="2"/>
      <scheme val="minor"/>
    </font>
    <font>
      <sz val="11"/>
      <color rgb="FFC00000"/>
      <name val="Calibri"/>
      <family val="2"/>
      <scheme val="minor"/>
    </font>
    <font>
      <b/>
      <sz val="18"/>
      <color theme="1"/>
      <name val="Calibri"/>
      <family val="2"/>
      <scheme val="minor"/>
    </font>
    <font>
      <b/>
      <sz val="18"/>
      <color theme="0"/>
      <name val="Calibri"/>
      <family val="2"/>
      <scheme val="minor"/>
    </font>
    <font>
      <sz val="18"/>
      <color theme="1"/>
      <name val="Calibri"/>
      <family val="2"/>
      <scheme val="minor"/>
    </font>
    <font>
      <sz val="18"/>
      <color rgb="FF000000"/>
      <name val="Calibri"/>
      <family val="2"/>
      <scheme val="minor"/>
    </font>
    <font>
      <b/>
      <sz val="18"/>
      <color rgb="FF000000"/>
      <name val="Calibri"/>
      <family val="2"/>
      <scheme val="minor"/>
    </font>
  </fonts>
  <fills count="40">
    <fill>
      <patternFill patternType="none"/>
    </fill>
    <fill>
      <patternFill patternType="gray125"/>
    </fill>
    <fill>
      <patternFill patternType="solid">
        <fgColor theme="8" tint="0.39997558519241921"/>
        <bgColor indexed="64"/>
      </patternFill>
    </fill>
    <fill>
      <patternFill patternType="solid">
        <fgColor theme="5"/>
        <bgColor theme="5"/>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rgb="FFC9FFBF"/>
        <bgColor indexed="64"/>
      </patternFill>
    </fill>
    <fill>
      <patternFill patternType="solid">
        <fgColor rgb="FF96FF82"/>
        <bgColor indexed="64"/>
      </patternFill>
    </fill>
    <fill>
      <patternFill patternType="solid">
        <fgColor rgb="FF70FF54"/>
        <bgColor indexed="64"/>
      </patternFill>
    </fill>
    <fill>
      <patternFill patternType="solid">
        <fgColor rgb="FF26E500"/>
        <bgColor indexed="64"/>
      </patternFill>
    </fill>
    <fill>
      <patternFill patternType="solid">
        <fgColor rgb="FFFFDDF7"/>
        <bgColor indexed="64"/>
      </patternFill>
    </fill>
    <fill>
      <patternFill patternType="solid">
        <fgColor rgb="FFFFB7EB"/>
        <bgColor indexed="64"/>
      </patternFill>
    </fill>
    <fill>
      <patternFill patternType="solid">
        <fgColor rgb="FFFF99E3"/>
        <bgColor indexed="64"/>
      </patternFill>
    </fill>
    <fill>
      <patternFill patternType="solid">
        <fgColor theme="2" tint="-0.249977111117893"/>
        <bgColor indexed="64"/>
      </patternFill>
    </fill>
    <fill>
      <patternFill patternType="solid">
        <fgColor rgb="FFDDFFF4"/>
        <bgColor indexed="64"/>
      </patternFill>
    </fill>
    <fill>
      <patternFill patternType="solid">
        <fgColor rgb="FFADFFE3"/>
        <bgColor indexed="64"/>
      </patternFill>
    </fill>
    <fill>
      <patternFill patternType="solid">
        <fgColor rgb="FF7FFFD2"/>
        <bgColor indexed="64"/>
      </patternFill>
    </fill>
    <fill>
      <patternFill patternType="solid">
        <fgColor rgb="FF32FFB4"/>
        <bgColor indexed="64"/>
      </patternFill>
    </fill>
    <fill>
      <patternFill patternType="solid">
        <fgColor theme="0" tint="-0.14999847407452621"/>
        <bgColor indexed="64"/>
      </patternFill>
    </fill>
    <fill>
      <patternFill patternType="solid">
        <fgColor rgb="FFFFC000"/>
        <bgColor indexed="64"/>
      </patternFill>
    </fill>
    <fill>
      <patternFill patternType="solid">
        <fgColor rgb="FFC4E0FF"/>
        <bgColor indexed="64"/>
      </patternFill>
    </fill>
    <fill>
      <patternFill patternType="solid">
        <fgColor rgb="FFE2F0FF"/>
        <bgColor indexed="64"/>
      </patternFill>
    </fill>
    <fill>
      <patternFill patternType="solid">
        <fgColor rgb="FFE2F0FF"/>
        <bgColor theme="8" tint="0.79998168889431442"/>
      </patternFill>
    </fill>
    <fill>
      <patternFill patternType="solid">
        <fgColor rgb="FF9ECCFF"/>
        <bgColor indexed="64"/>
      </patternFill>
    </fill>
    <fill>
      <patternFill patternType="solid">
        <fgColor rgb="FF60ADFF"/>
        <bgColor indexed="64"/>
      </patternFill>
    </fill>
    <fill>
      <patternFill patternType="solid">
        <fgColor rgb="FF7ABAFF"/>
        <bgColor indexed="64"/>
      </patternFill>
    </fill>
    <fill>
      <patternFill patternType="solid">
        <fgColor rgb="FFC4E0FF"/>
        <bgColor theme="8" tint="0.79998168889431442"/>
      </patternFill>
    </fill>
    <fill>
      <patternFill patternType="solid">
        <fgColor rgb="FFCCFFFF"/>
        <bgColor indexed="64"/>
      </patternFill>
    </fill>
    <fill>
      <patternFill patternType="solid">
        <fgColor rgb="FFCCFFCC"/>
        <bgColor indexed="64"/>
      </patternFill>
    </fill>
    <fill>
      <patternFill patternType="solid">
        <fgColor theme="4" tint="0.79998168889431442"/>
        <bgColor indexed="64"/>
      </patternFill>
    </fill>
    <fill>
      <patternFill patternType="solid">
        <fgColor rgb="FFFFCCFF"/>
        <bgColor indexed="64"/>
      </patternFill>
    </fill>
    <fill>
      <patternFill patternType="solid">
        <fgColor theme="2"/>
        <bgColor indexed="64"/>
      </patternFill>
    </fill>
    <fill>
      <patternFill patternType="solid">
        <fgColor rgb="FFFFE7FF"/>
        <bgColor indexed="64"/>
      </patternFill>
    </fill>
    <fill>
      <patternFill patternType="solid">
        <fgColor theme="7"/>
        <bgColor indexed="64"/>
      </patternFill>
    </fill>
    <fill>
      <patternFill patternType="solid">
        <fgColor rgb="FFD9D9D9"/>
        <bgColor indexed="64"/>
      </patternFill>
    </fill>
  </fills>
  <borders count="29">
    <border>
      <left/>
      <right/>
      <top/>
      <bottom/>
      <diagonal/>
    </border>
    <border>
      <left style="thin">
        <color theme="5"/>
      </left>
      <right/>
      <top/>
      <bottom/>
      <diagonal/>
    </border>
    <border>
      <left style="thin">
        <color theme="5"/>
      </left>
      <right style="thin">
        <color indexed="64"/>
      </right>
      <top style="thin">
        <color theme="5"/>
      </top>
      <bottom style="thin">
        <color theme="5"/>
      </bottom>
      <diagonal/>
    </border>
    <border>
      <left style="thin">
        <color indexed="64"/>
      </left>
      <right style="thin">
        <color theme="5"/>
      </right>
      <top style="thin">
        <color theme="5"/>
      </top>
      <bottom style="thin">
        <color theme="5"/>
      </bottom>
      <diagonal/>
    </border>
    <border>
      <left style="thin">
        <color theme="5" tint="0.39997558519241921"/>
      </left>
      <right/>
      <top/>
      <bottom style="thin">
        <color theme="5" tint="0.39997558519241921"/>
      </bottom>
      <diagonal/>
    </border>
    <border>
      <left/>
      <right style="thin">
        <color theme="5" tint="0.39997558519241921"/>
      </right>
      <top/>
      <bottom style="thin">
        <color theme="5" tint="0.39997558519241921"/>
      </bottom>
      <diagonal/>
    </border>
    <border>
      <left style="thin">
        <color auto="1"/>
      </left>
      <right style="thin">
        <color auto="1"/>
      </right>
      <top/>
      <bottom style="thin">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auto="1"/>
      </top>
      <bottom style="thin">
        <color rgb="FF000000"/>
      </bottom>
      <diagonal/>
    </border>
    <border>
      <left/>
      <right/>
      <top style="thin">
        <color auto="1"/>
      </top>
      <bottom/>
      <diagonal/>
    </border>
    <border>
      <left style="thin">
        <color auto="1"/>
      </left>
      <right/>
      <top style="thin">
        <color theme="8"/>
      </top>
      <bottom style="thin">
        <color auto="1"/>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410">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6" borderId="10" xfId="0" applyFill="1" applyBorder="1" applyAlignment="1">
      <alignment wrapText="1"/>
    </xf>
    <xf numFmtId="0" fontId="0" fillId="8" borderId="10" xfId="0" applyFill="1" applyBorder="1" applyAlignment="1">
      <alignment wrapText="1"/>
    </xf>
    <xf numFmtId="0" fontId="0" fillId="9" borderId="10" xfId="0" applyFill="1" applyBorder="1" applyAlignment="1">
      <alignment wrapText="1"/>
    </xf>
    <xf numFmtId="0" fontId="0" fillId="8" borderId="10" xfId="0" applyFill="1" applyBorder="1" applyAlignment="1">
      <alignment horizontal="center" vertical="center" wrapText="1"/>
    </xf>
    <xf numFmtId="0" fontId="0" fillId="6" borderId="10" xfId="0" applyFill="1" applyBorder="1" applyAlignment="1">
      <alignment horizontal="center" vertical="center" wrapText="1"/>
    </xf>
    <xf numFmtId="0" fontId="0" fillId="9" borderId="10" xfId="0"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0" fillId="0" borderId="0" xfId="0" applyNumberFormat="1" applyAlignment="1">
      <alignment wrapText="1"/>
    </xf>
    <xf numFmtId="0" fontId="0" fillId="10" borderId="15" xfId="0" applyFill="1" applyBorder="1" applyAlignment="1">
      <alignment wrapText="1"/>
    </xf>
    <xf numFmtId="49" fontId="0" fillId="10" borderId="15" xfId="0" applyNumberFormat="1" applyFill="1" applyBorder="1" applyAlignment="1">
      <alignment wrapText="1"/>
    </xf>
    <xf numFmtId="0" fontId="0" fillId="10" borderId="15" xfId="0" applyFill="1" applyBorder="1" applyAlignment="1">
      <alignment horizontal="left" wrapText="1"/>
    </xf>
    <xf numFmtId="0" fontId="0" fillId="10" borderId="15" xfId="0" applyFill="1" applyBorder="1" applyAlignment="1">
      <alignment horizontal="center" vertical="center" wrapText="1"/>
    </xf>
    <xf numFmtId="49" fontId="0" fillId="10" borderId="15" xfId="0" applyNumberFormat="1" applyFill="1" applyBorder="1" applyAlignment="1">
      <alignment horizontal="left"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49" fontId="2" fillId="2" borderId="19" xfId="0" applyNumberFormat="1" applyFont="1" applyFill="1" applyBorder="1" applyAlignment="1">
      <alignment horizontal="center" vertical="center" wrapText="1"/>
    </xf>
    <xf numFmtId="0" fontId="2" fillId="2" borderId="19" xfId="0" applyFont="1" applyFill="1" applyBorder="1" applyAlignment="1">
      <alignment horizontal="center" wrapText="1"/>
    </xf>
    <xf numFmtId="0" fontId="2" fillId="2" borderId="20" xfId="0" applyFont="1" applyFill="1" applyBorder="1" applyAlignment="1">
      <alignment horizontal="center" vertical="center" wrapText="1"/>
    </xf>
    <xf numFmtId="0" fontId="0" fillId="10" borderId="16" xfId="0" applyFill="1" applyBorder="1" applyAlignment="1">
      <alignment wrapText="1"/>
    </xf>
    <xf numFmtId="0" fontId="0" fillId="10" borderId="17" xfId="0" applyFill="1" applyBorder="1" applyAlignment="1">
      <alignment wrapText="1"/>
    </xf>
    <xf numFmtId="0" fontId="0" fillId="10" borderId="21" xfId="0" applyFill="1" applyBorder="1" applyAlignment="1">
      <alignment wrapText="1"/>
    </xf>
    <xf numFmtId="0" fontId="0" fillId="10" borderId="22" xfId="0" applyFill="1" applyBorder="1" applyAlignment="1">
      <alignment wrapText="1"/>
    </xf>
    <xf numFmtId="49" fontId="0" fillId="10" borderId="22" xfId="0" applyNumberFormat="1" applyFill="1" applyBorder="1" applyAlignment="1">
      <alignment wrapText="1"/>
    </xf>
    <xf numFmtId="0" fontId="0" fillId="10" borderId="22" xfId="0" applyFill="1" applyBorder="1" applyAlignment="1">
      <alignment horizontal="center" vertical="center" wrapText="1"/>
    </xf>
    <xf numFmtId="0" fontId="0" fillId="10" borderId="23" xfId="0" applyFill="1" applyBorder="1" applyAlignment="1">
      <alignment wrapText="1"/>
    </xf>
    <xf numFmtId="0" fontId="2" fillId="2" borderId="8" xfId="0" applyFont="1" applyFill="1" applyBorder="1" applyAlignment="1">
      <alignment horizontal="center" vertical="center" wrapText="1"/>
    </xf>
    <xf numFmtId="0" fontId="0" fillId="11" borderId="16" xfId="0" applyFill="1" applyBorder="1" applyAlignment="1">
      <alignment wrapText="1"/>
    </xf>
    <xf numFmtId="0" fontId="0" fillId="11" borderId="15" xfId="0" applyFill="1" applyBorder="1" applyAlignment="1">
      <alignment wrapText="1"/>
    </xf>
    <xf numFmtId="49" fontId="0" fillId="11" borderId="15" xfId="0" applyNumberFormat="1" applyFill="1" applyBorder="1" applyAlignment="1">
      <alignment wrapText="1"/>
    </xf>
    <xf numFmtId="0" fontId="0" fillId="11" borderId="15" xfId="0" applyFill="1" applyBorder="1" applyAlignment="1">
      <alignment horizontal="center" vertical="center" wrapText="1"/>
    </xf>
    <xf numFmtId="0" fontId="0" fillId="11" borderId="17" xfId="0" applyFill="1" applyBorder="1" applyAlignment="1">
      <alignment wrapText="1"/>
    </xf>
    <xf numFmtId="0" fontId="0" fillId="12" borderId="16" xfId="0" applyFill="1" applyBorder="1" applyAlignment="1">
      <alignment wrapText="1"/>
    </xf>
    <xf numFmtId="0" fontId="0" fillId="12" borderId="15" xfId="0" applyFill="1" applyBorder="1" applyAlignment="1">
      <alignment wrapText="1"/>
    </xf>
    <xf numFmtId="49" fontId="0" fillId="12" borderId="15" xfId="0" applyNumberFormat="1" applyFill="1" applyBorder="1" applyAlignment="1">
      <alignment wrapText="1"/>
    </xf>
    <xf numFmtId="0" fontId="0" fillId="12" borderId="15" xfId="0" applyFill="1" applyBorder="1" applyAlignment="1">
      <alignment horizontal="center" vertical="center" wrapText="1"/>
    </xf>
    <xf numFmtId="0" fontId="0" fillId="12" borderId="17" xfId="0" applyFill="1" applyBorder="1" applyAlignment="1">
      <alignment wrapText="1"/>
    </xf>
    <xf numFmtId="0" fontId="1" fillId="12" borderId="17" xfId="1" applyFill="1" applyBorder="1" applyAlignment="1">
      <alignment wrapText="1"/>
    </xf>
    <xf numFmtId="0" fontId="0" fillId="13" borderId="16" xfId="0" applyFill="1" applyBorder="1" applyAlignment="1">
      <alignment wrapText="1"/>
    </xf>
    <xf numFmtId="0" fontId="0" fillId="13" borderId="15" xfId="0" applyFill="1" applyBorder="1" applyAlignment="1">
      <alignment wrapText="1"/>
    </xf>
    <xf numFmtId="49" fontId="0" fillId="13" borderId="15" xfId="0" quotePrefix="1" applyNumberFormat="1" applyFill="1" applyBorder="1" applyAlignment="1">
      <alignment wrapText="1"/>
    </xf>
    <xf numFmtId="49" fontId="0" fillId="13" borderId="15" xfId="0" applyNumberFormat="1" applyFill="1" applyBorder="1" applyAlignment="1">
      <alignment wrapText="1"/>
    </xf>
    <xf numFmtId="0" fontId="0" fillId="13" borderId="15" xfId="0" applyFill="1" applyBorder="1" applyAlignment="1">
      <alignment horizontal="center" vertical="center" wrapText="1"/>
    </xf>
    <xf numFmtId="0" fontId="0" fillId="13" borderId="17" xfId="0" applyFill="1" applyBorder="1" applyAlignment="1">
      <alignment wrapText="1"/>
    </xf>
    <xf numFmtId="0" fontId="0" fillId="14" borderId="16" xfId="0" applyFill="1" applyBorder="1" applyAlignment="1">
      <alignment wrapText="1"/>
    </xf>
    <xf numFmtId="0" fontId="0" fillId="14" borderId="15" xfId="0" applyFill="1" applyBorder="1" applyAlignment="1">
      <alignment wrapText="1"/>
    </xf>
    <xf numFmtId="49" fontId="0" fillId="14" borderId="15" xfId="0" applyNumberFormat="1" applyFill="1" applyBorder="1" applyAlignment="1">
      <alignment wrapText="1"/>
    </xf>
    <xf numFmtId="0" fontId="0" fillId="14" borderId="15" xfId="0" applyFill="1" applyBorder="1" applyAlignment="1">
      <alignment horizontal="center" vertical="center" wrapText="1"/>
    </xf>
    <xf numFmtId="0" fontId="0" fillId="14" borderId="17" xfId="0" applyFill="1" applyBorder="1" applyAlignment="1">
      <alignment wrapText="1"/>
    </xf>
    <xf numFmtId="0" fontId="0" fillId="15" borderId="10" xfId="0" applyFill="1" applyBorder="1" applyAlignment="1">
      <alignment wrapText="1"/>
    </xf>
    <xf numFmtId="0" fontId="0" fillId="16" borderId="10" xfId="0" applyFill="1" applyBorder="1" applyAlignment="1">
      <alignment wrapText="1"/>
    </xf>
    <xf numFmtId="0" fontId="0" fillId="17" borderId="10" xfId="0" applyFill="1" applyBorder="1" applyAlignment="1">
      <alignment wrapText="1"/>
    </xf>
    <xf numFmtId="49" fontId="0" fillId="15" borderId="10" xfId="0" applyNumberFormat="1" applyFill="1" applyBorder="1" applyAlignment="1">
      <alignment horizontal="left" wrapText="1"/>
    </xf>
    <xf numFmtId="49" fontId="0" fillId="16" borderId="10" xfId="0" applyNumberFormat="1" applyFill="1" applyBorder="1" applyAlignment="1">
      <alignment horizontal="left" wrapText="1"/>
    </xf>
    <xf numFmtId="49" fontId="0" fillId="17" borderId="10" xfId="0" applyNumberFormat="1" applyFill="1" applyBorder="1" applyAlignment="1">
      <alignment horizontal="left" wrapText="1"/>
    </xf>
    <xf numFmtId="0" fontId="0" fillId="18" borderId="10" xfId="0" applyFill="1" applyBorder="1" applyAlignment="1">
      <alignment wrapText="1"/>
    </xf>
    <xf numFmtId="49" fontId="0" fillId="18" borderId="10" xfId="0" applyNumberFormat="1" applyFill="1" applyBorder="1" applyAlignment="1">
      <alignment horizontal="left" wrapText="1"/>
    </xf>
    <xf numFmtId="0" fontId="0" fillId="19" borderId="9" xfId="0" applyFill="1" applyBorder="1" applyAlignment="1">
      <alignment wrapText="1"/>
    </xf>
    <xf numFmtId="0" fontId="0" fillId="19" borderId="10" xfId="0" applyFill="1" applyBorder="1" applyAlignment="1">
      <alignment wrapText="1"/>
    </xf>
    <xf numFmtId="0" fontId="0" fillId="19" borderId="10" xfId="0" applyFill="1" applyBorder="1" applyAlignment="1">
      <alignment horizontal="center" vertical="center" wrapText="1"/>
    </xf>
    <xf numFmtId="49" fontId="0" fillId="19" borderId="10" xfId="0" applyNumberFormat="1" applyFill="1" applyBorder="1" applyAlignment="1">
      <alignment wrapText="1"/>
    </xf>
    <xf numFmtId="0" fontId="0" fillId="19" borderId="11" xfId="0" applyFill="1" applyBorder="1" applyAlignment="1">
      <alignment wrapText="1"/>
    </xf>
    <xf numFmtId="0" fontId="0" fillId="20" borderId="9" xfId="0" applyFill="1" applyBorder="1" applyAlignment="1">
      <alignment wrapText="1"/>
    </xf>
    <xf numFmtId="0" fontId="0" fillId="20" borderId="10" xfId="0" applyFill="1" applyBorder="1" applyAlignment="1">
      <alignment wrapText="1"/>
    </xf>
    <xf numFmtId="0" fontId="0" fillId="20" borderId="10" xfId="0" applyFill="1" applyBorder="1" applyAlignment="1">
      <alignment horizontal="center" vertical="center" wrapText="1"/>
    </xf>
    <xf numFmtId="49" fontId="0" fillId="20" borderId="10" xfId="0" applyNumberFormat="1" applyFill="1" applyBorder="1" applyAlignment="1">
      <alignment wrapText="1"/>
    </xf>
    <xf numFmtId="0" fontId="0" fillId="20" borderId="11" xfId="0" applyFill="1" applyBorder="1" applyAlignment="1">
      <alignment wrapText="1"/>
    </xf>
    <xf numFmtId="0" fontId="0" fillId="21" borderId="9" xfId="0" applyFill="1" applyBorder="1" applyAlignment="1">
      <alignment wrapText="1"/>
    </xf>
    <xf numFmtId="0" fontId="0" fillId="21" borderId="10" xfId="0" applyFill="1" applyBorder="1" applyAlignment="1">
      <alignment wrapText="1"/>
    </xf>
    <xf numFmtId="0" fontId="0" fillId="21" borderId="10" xfId="0" applyFill="1" applyBorder="1" applyAlignment="1">
      <alignment horizontal="center" vertical="center" wrapText="1"/>
    </xf>
    <xf numFmtId="49" fontId="0" fillId="21" borderId="10" xfId="0" applyNumberFormat="1" applyFill="1" applyBorder="1" applyAlignment="1">
      <alignment wrapText="1"/>
    </xf>
    <xf numFmtId="0" fontId="0" fillId="21" borderId="11" xfId="0" applyFill="1" applyBorder="1" applyAlignment="1">
      <alignment wrapText="1"/>
    </xf>
    <xf numFmtId="0" fontId="0" fillId="22" borderId="9" xfId="0" applyFill="1" applyBorder="1" applyAlignment="1">
      <alignment wrapText="1"/>
    </xf>
    <xf numFmtId="0" fontId="0" fillId="22" borderId="10" xfId="0" applyFill="1" applyBorder="1" applyAlignment="1">
      <alignment wrapText="1"/>
    </xf>
    <xf numFmtId="0" fontId="0" fillId="22" borderId="10" xfId="0" applyFill="1" applyBorder="1" applyAlignment="1">
      <alignment horizontal="center" vertical="center" wrapText="1"/>
    </xf>
    <xf numFmtId="49" fontId="0" fillId="22" borderId="10" xfId="0" applyNumberFormat="1" applyFill="1" applyBorder="1" applyAlignment="1">
      <alignment wrapText="1"/>
    </xf>
    <xf numFmtId="0" fontId="0" fillId="22" borderId="11" xfId="0" applyFill="1" applyBorder="1" applyAlignment="1">
      <alignment wrapText="1"/>
    </xf>
    <xf numFmtId="0" fontId="0" fillId="21" borderId="12" xfId="0" applyFill="1" applyBorder="1" applyAlignment="1">
      <alignment wrapText="1"/>
    </xf>
    <xf numFmtId="0" fontId="0" fillId="21" borderId="13" xfId="0" applyFill="1" applyBorder="1" applyAlignment="1">
      <alignment wrapText="1"/>
    </xf>
    <xf numFmtId="49" fontId="0" fillId="21" borderId="13" xfId="0" applyNumberFormat="1" applyFill="1" applyBorder="1" applyAlignment="1">
      <alignment wrapText="1"/>
    </xf>
    <xf numFmtId="0" fontId="0" fillId="21" borderId="13" xfId="0" applyFill="1" applyBorder="1" applyAlignment="1">
      <alignment horizontal="center" vertical="center" wrapText="1"/>
    </xf>
    <xf numFmtId="0" fontId="0" fillId="21" borderId="14" xfId="0" applyFill="1" applyBorder="1" applyAlignment="1">
      <alignment wrapText="1"/>
    </xf>
    <xf numFmtId="0" fontId="0" fillId="23" borderId="12" xfId="0" applyFill="1" applyBorder="1" applyAlignment="1">
      <alignment wrapText="1"/>
    </xf>
    <xf numFmtId="0" fontId="0" fillId="23" borderId="10" xfId="0" applyFill="1" applyBorder="1" applyAlignment="1">
      <alignment wrapText="1"/>
    </xf>
    <xf numFmtId="49" fontId="0" fillId="23" borderId="10" xfId="0" applyNumberFormat="1" applyFill="1" applyBorder="1" applyAlignment="1">
      <alignment horizontal="left" wrapText="1"/>
    </xf>
    <xf numFmtId="49" fontId="0" fillId="23" borderId="10" xfId="0" applyNumberFormat="1" applyFill="1" applyBorder="1" applyAlignment="1">
      <alignment wrapText="1"/>
    </xf>
    <xf numFmtId="0" fontId="0" fillId="23" borderId="10" xfId="0" applyFill="1" applyBorder="1" applyAlignment="1">
      <alignment horizontal="center" vertical="center" wrapText="1"/>
    </xf>
    <xf numFmtId="0" fontId="0" fillId="23" borderId="11" xfId="0" applyFill="1" applyBorder="1" applyAlignment="1">
      <alignment wrapText="1"/>
    </xf>
    <xf numFmtId="0" fontId="0" fillId="23" borderId="13" xfId="0" applyFill="1" applyBorder="1" applyAlignment="1">
      <alignment wrapText="1"/>
    </xf>
    <xf numFmtId="49" fontId="0" fillId="23" borderId="13" xfId="0" applyNumberFormat="1" applyFill="1" applyBorder="1" applyAlignment="1">
      <alignment wrapText="1"/>
    </xf>
    <xf numFmtId="0" fontId="0" fillId="23" borderId="13" xfId="0" applyFill="1" applyBorder="1" applyAlignment="1">
      <alignment horizontal="center" vertical="center" wrapText="1"/>
    </xf>
    <xf numFmtId="0" fontId="0" fillId="23" borderId="14" xfId="0" applyFill="1" applyBorder="1" applyAlignment="1">
      <alignment wrapText="1"/>
    </xf>
    <xf numFmtId="0" fontId="0" fillId="23" borderId="9" xfId="0" applyFill="1" applyBorder="1" applyAlignment="1">
      <alignment wrapText="1"/>
    </xf>
    <xf numFmtId="0" fontId="2" fillId="2" borderId="6" xfId="0" applyFont="1" applyFill="1" applyBorder="1" applyAlignment="1">
      <alignment horizontal="center" wrapText="1"/>
    </xf>
    <xf numFmtId="49" fontId="0" fillId="6" borderId="10" xfId="0" applyNumberFormat="1" applyFill="1" applyBorder="1" applyAlignment="1">
      <alignment wrapText="1"/>
    </xf>
    <xf numFmtId="49" fontId="0" fillId="8" borderId="10" xfId="0" applyNumberFormat="1" applyFill="1" applyBorder="1" applyAlignment="1">
      <alignment wrapText="1"/>
    </xf>
    <xf numFmtId="49" fontId="0" fillId="9" borderId="10" xfId="0" applyNumberFormat="1" applyFill="1" applyBorder="1" applyAlignment="1">
      <alignment wrapText="1"/>
    </xf>
    <xf numFmtId="0" fontId="0" fillId="24" borderId="10" xfId="0" applyFill="1" applyBorder="1" applyAlignment="1">
      <alignment wrapText="1"/>
    </xf>
    <xf numFmtId="49" fontId="0" fillId="24" borderId="10" xfId="0" applyNumberFormat="1" applyFill="1" applyBorder="1" applyAlignment="1">
      <alignment wrapText="1"/>
    </xf>
    <xf numFmtId="0" fontId="0" fillId="24" borderId="10" xfId="0" applyFill="1" applyBorder="1" applyAlignment="1">
      <alignment horizontal="center" vertical="center" wrapText="1"/>
    </xf>
    <xf numFmtId="0" fontId="0" fillId="15" borderId="9" xfId="0" applyFill="1" applyBorder="1" applyAlignment="1">
      <alignment wrapText="1"/>
    </xf>
    <xf numFmtId="0" fontId="0" fillId="16" borderId="9" xfId="0" applyFill="1" applyBorder="1" applyAlignment="1">
      <alignment wrapText="1"/>
    </xf>
    <xf numFmtId="0" fontId="0" fillId="17" borderId="9" xfId="0" applyFill="1" applyBorder="1" applyAlignment="1">
      <alignment wrapText="1"/>
    </xf>
    <xf numFmtId="0" fontId="0" fillId="18" borderId="9" xfId="0" applyFill="1" applyBorder="1" applyAlignment="1">
      <alignment wrapText="1"/>
    </xf>
    <xf numFmtId="0" fontId="0" fillId="15" borderId="11" xfId="0" applyFill="1" applyBorder="1" applyAlignment="1">
      <alignment wrapText="1"/>
    </xf>
    <xf numFmtId="0" fontId="0" fillId="16" borderId="11" xfId="0" applyFill="1" applyBorder="1" applyAlignment="1">
      <alignment wrapText="1"/>
    </xf>
    <xf numFmtId="0" fontId="0" fillId="17" borderId="11" xfId="0" applyFill="1" applyBorder="1" applyAlignment="1">
      <alignment wrapText="1"/>
    </xf>
    <xf numFmtId="0" fontId="0" fillId="18" borderId="11" xfId="0" applyFill="1" applyBorder="1" applyAlignment="1">
      <alignment wrapText="1"/>
    </xf>
    <xf numFmtId="49" fontId="0" fillId="15" borderId="10" xfId="0" applyNumberFormat="1" applyFill="1" applyBorder="1" applyAlignment="1">
      <alignment wrapText="1"/>
    </xf>
    <xf numFmtId="49" fontId="0" fillId="16" borderId="10" xfId="0" applyNumberFormat="1" applyFill="1" applyBorder="1" applyAlignment="1">
      <alignment wrapText="1"/>
    </xf>
    <xf numFmtId="49" fontId="0" fillId="17" borderId="10" xfId="0" applyNumberFormat="1" applyFill="1" applyBorder="1" applyAlignment="1">
      <alignment wrapText="1"/>
    </xf>
    <xf numFmtId="49" fontId="0" fillId="18" borderId="10" xfId="0" applyNumberFormat="1" applyFill="1" applyBorder="1" applyAlignment="1">
      <alignment wrapText="1"/>
    </xf>
    <xf numFmtId="49" fontId="0" fillId="15" borderId="10" xfId="0" applyNumberFormat="1" applyFill="1" applyBorder="1" applyAlignment="1">
      <alignment horizontal="center" vertical="center" wrapText="1"/>
    </xf>
    <xf numFmtId="49" fontId="0" fillId="16" borderId="10" xfId="0" applyNumberFormat="1" applyFill="1" applyBorder="1" applyAlignment="1">
      <alignment horizontal="center" vertical="center" wrapText="1"/>
    </xf>
    <xf numFmtId="49" fontId="0" fillId="17" borderId="10" xfId="0" applyNumberFormat="1" applyFill="1" applyBorder="1" applyAlignment="1">
      <alignment horizontal="center" vertical="center" wrapText="1"/>
    </xf>
    <xf numFmtId="49" fontId="0" fillId="18" borderId="10" xfId="0" applyNumberFormat="1" applyFill="1" applyBorder="1" applyAlignment="1">
      <alignment horizontal="center" vertical="center" wrapText="1"/>
    </xf>
    <xf numFmtId="49" fontId="0" fillId="0" borderId="0" xfId="0" applyNumberFormat="1" applyAlignment="1">
      <alignment horizontal="center" vertical="center"/>
    </xf>
    <xf numFmtId="0" fontId="0" fillId="25" borderId="9" xfId="0" applyFill="1" applyBorder="1"/>
    <xf numFmtId="0" fontId="0" fillId="25" borderId="10" xfId="0" applyFill="1" applyBorder="1" applyAlignment="1">
      <alignment wrapText="1"/>
    </xf>
    <xf numFmtId="0" fontId="0" fillId="25" borderId="10" xfId="0" applyFill="1" applyBorder="1" applyAlignment="1">
      <alignment horizontal="right"/>
    </xf>
    <xf numFmtId="0" fontId="0" fillId="25" borderId="11" xfId="0" applyFill="1" applyBorder="1"/>
    <xf numFmtId="0" fontId="0" fillId="26" borderId="9" xfId="0" applyFill="1" applyBorder="1" applyAlignment="1">
      <alignment horizontal="left" vertical="center"/>
    </xf>
    <xf numFmtId="0" fontId="0" fillId="27" borderId="10" xfId="0" applyFill="1" applyBorder="1" applyAlignment="1">
      <alignment horizontal="left" vertical="center" wrapText="1"/>
    </xf>
    <xf numFmtId="0" fontId="0" fillId="26" borderId="10" xfId="0" applyFill="1" applyBorder="1" applyAlignment="1">
      <alignment horizontal="left" vertical="center" wrapText="1"/>
    </xf>
    <xf numFmtId="0" fontId="0" fillId="26" borderId="10" xfId="0" applyFill="1" applyBorder="1" applyAlignment="1">
      <alignment horizontal="center" vertical="center" wrapText="1"/>
    </xf>
    <xf numFmtId="0" fontId="0" fillId="26" borderId="10" xfId="0" applyFill="1" applyBorder="1" applyAlignment="1">
      <alignment horizontal="right" vertical="center" wrapText="1"/>
    </xf>
    <xf numFmtId="0" fontId="0" fillId="26" borderId="11" xfId="0" applyFill="1" applyBorder="1" applyAlignment="1">
      <alignment horizontal="center" vertical="center"/>
    </xf>
    <xf numFmtId="0" fontId="0" fillId="28" borderId="9" xfId="0" applyFill="1" applyBorder="1"/>
    <xf numFmtId="0" fontId="0" fillId="28" borderId="10" xfId="0" applyFill="1" applyBorder="1" applyAlignment="1">
      <alignment wrapText="1"/>
    </xf>
    <xf numFmtId="0" fontId="0" fillId="28" borderId="10" xfId="0" applyFill="1" applyBorder="1" applyAlignment="1">
      <alignment horizontal="right"/>
    </xf>
    <xf numFmtId="0" fontId="0" fillId="28" borderId="11" xfId="0" applyFill="1" applyBorder="1"/>
    <xf numFmtId="0" fontId="0" fillId="29" borderId="9" xfId="0" applyFill="1" applyBorder="1"/>
    <xf numFmtId="0" fontId="0" fillId="29" borderId="10" xfId="0" applyFill="1" applyBorder="1" applyAlignment="1">
      <alignment wrapText="1"/>
    </xf>
    <xf numFmtId="0" fontId="0" fillId="29" borderId="10" xfId="0" applyFill="1" applyBorder="1" applyAlignment="1">
      <alignment horizontal="right"/>
    </xf>
    <xf numFmtId="0" fontId="0" fillId="29" borderId="11" xfId="0" applyFill="1" applyBorder="1"/>
    <xf numFmtId="0" fontId="0" fillId="29" borderId="11" xfId="0" applyFill="1" applyBorder="1" applyAlignment="1">
      <alignment wrapText="1"/>
    </xf>
    <xf numFmtId="0" fontId="0" fillId="25" borderId="10" xfId="0" applyFill="1" applyBorder="1" applyAlignment="1">
      <alignment horizontal="center" vertical="center"/>
    </xf>
    <xf numFmtId="0" fontId="0" fillId="28" borderId="10" xfId="0" applyFill="1" applyBorder="1" applyAlignment="1">
      <alignment horizontal="center" vertical="center"/>
    </xf>
    <xf numFmtId="0" fontId="0" fillId="29" borderId="10" xfId="0" applyFill="1" applyBorder="1" applyAlignment="1">
      <alignment horizontal="center" vertical="center"/>
    </xf>
    <xf numFmtId="0" fontId="0" fillId="26" borderId="11" xfId="0" applyFill="1" applyBorder="1" applyAlignment="1">
      <alignment horizontal="center" vertical="center" wrapText="1"/>
    </xf>
    <xf numFmtId="0" fontId="0" fillId="25" borderId="11" xfId="0" applyFill="1" applyBorder="1" applyAlignment="1">
      <alignment wrapText="1"/>
    </xf>
    <xf numFmtId="0" fontId="0" fillId="28" borderId="11" xfId="0" applyFill="1" applyBorder="1" applyAlignment="1">
      <alignment wrapText="1"/>
    </xf>
    <xf numFmtId="0" fontId="0" fillId="23" borderId="9" xfId="0" applyFill="1" applyBorder="1"/>
    <xf numFmtId="0" fontId="0" fillId="23" borderId="10" xfId="0" applyFill="1" applyBorder="1" applyAlignment="1">
      <alignment horizontal="center" vertical="center"/>
    </xf>
    <xf numFmtId="0" fontId="0" fillId="23" borderId="10" xfId="0" applyFill="1" applyBorder="1" applyAlignment="1">
      <alignment horizontal="right"/>
    </xf>
    <xf numFmtId="0" fontId="0" fillId="23" borderId="11" xfId="0" applyFill="1" applyBorder="1"/>
    <xf numFmtId="0" fontId="0" fillId="25" borderId="10" xfId="0" applyFill="1" applyBorder="1" applyAlignment="1">
      <alignment horizontal="left"/>
    </xf>
    <xf numFmtId="0" fontId="0" fillId="28" borderId="10" xfId="0" applyFill="1" applyBorder="1" applyAlignment="1">
      <alignment horizontal="left"/>
    </xf>
    <xf numFmtId="0" fontId="0" fillId="23" borderId="10" xfId="0" applyFill="1" applyBorder="1" applyAlignment="1">
      <alignment horizontal="left"/>
    </xf>
    <xf numFmtId="0" fontId="0" fillId="29" borderId="10" xfId="0" applyFill="1" applyBorder="1" applyAlignment="1">
      <alignment horizontal="left"/>
    </xf>
    <xf numFmtId="49" fontId="0" fillId="26" borderId="10" xfId="0" applyNumberFormat="1" applyFill="1" applyBorder="1" applyAlignment="1">
      <alignment horizontal="left" wrapText="1"/>
    </xf>
    <xf numFmtId="49" fontId="0" fillId="25" borderId="10" xfId="0" applyNumberFormat="1" applyFill="1" applyBorder="1" applyAlignment="1">
      <alignment horizontal="left"/>
    </xf>
    <xf numFmtId="49" fontId="0" fillId="25" borderId="10" xfId="0" applyNumberFormat="1" applyFill="1" applyBorder="1" applyAlignment="1">
      <alignment horizontal="left" wrapText="1"/>
    </xf>
    <xf numFmtId="49" fontId="0" fillId="28" borderId="10" xfId="0" applyNumberFormat="1" applyFill="1" applyBorder="1" applyAlignment="1">
      <alignment horizontal="left"/>
    </xf>
    <xf numFmtId="49" fontId="0" fillId="28" borderId="10" xfId="0" applyNumberFormat="1" applyFill="1" applyBorder="1" applyAlignment="1">
      <alignment horizontal="left" wrapText="1"/>
    </xf>
    <xf numFmtId="49" fontId="0" fillId="23" borderId="10" xfId="0" applyNumberFormat="1" applyFill="1" applyBorder="1" applyAlignment="1">
      <alignment horizontal="left"/>
    </xf>
    <xf numFmtId="49" fontId="0" fillId="29" borderId="10" xfId="0" applyNumberFormat="1" applyFill="1" applyBorder="1" applyAlignment="1">
      <alignment horizontal="left"/>
    </xf>
    <xf numFmtId="49" fontId="0" fillId="29" borderId="10" xfId="0" applyNumberFormat="1" applyFill="1" applyBorder="1" applyAlignment="1">
      <alignment horizontal="left" wrapText="1"/>
    </xf>
    <xf numFmtId="49" fontId="0" fillId="0" borderId="0" xfId="0" applyNumberFormat="1" applyAlignment="1">
      <alignment horizontal="left"/>
    </xf>
    <xf numFmtId="0" fontId="4" fillId="27" borderId="10" xfId="0" applyFont="1" applyFill="1" applyBorder="1" applyAlignment="1">
      <alignment horizontal="left"/>
    </xf>
    <xf numFmtId="0" fontId="0" fillId="30" borderId="9" xfId="0" applyFill="1" applyBorder="1"/>
    <xf numFmtId="0" fontId="0" fillId="30" borderId="10" xfId="0" applyFill="1" applyBorder="1" applyAlignment="1">
      <alignment horizontal="left"/>
    </xf>
    <xf numFmtId="0" fontId="0" fillId="30" borderId="10" xfId="0" applyFill="1" applyBorder="1" applyAlignment="1">
      <alignment wrapText="1"/>
    </xf>
    <xf numFmtId="49" fontId="0" fillId="30" borderId="10" xfId="0" applyNumberFormat="1" applyFill="1" applyBorder="1" applyAlignment="1">
      <alignment horizontal="left"/>
    </xf>
    <xf numFmtId="0" fontId="0" fillId="30" borderId="10" xfId="0" applyFill="1" applyBorder="1" applyAlignment="1">
      <alignment horizontal="center" vertical="center"/>
    </xf>
    <xf numFmtId="0" fontId="0" fillId="30" borderId="10" xfId="0" applyFill="1" applyBorder="1" applyAlignment="1">
      <alignment horizontal="right"/>
    </xf>
    <xf numFmtId="0" fontId="0" fillId="30" borderId="11" xfId="0" applyFill="1" applyBorder="1"/>
    <xf numFmtId="0" fontId="0" fillId="30" borderId="11" xfId="0" applyFill="1" applyBorder="1" applyAlignment="1">
      <alignment wrapText="1"/>
    </xf>
    <xf numFmtId="0" fontId="0" fillId="25" borderId="12" xfId="0" applyFill="1" applyBorder="1"/>
    <xf numFmtId="0" fontId="0" fillId="31" borderId="13" xfId="0" applyFill="1" applyBorder="1" applyAlignment="1">
      <alignment horizontal="left"/>
    </xf>
    <xf numFmtId="0" fontId="0" fillId="25" borderId="13" xfId="0" applyFill="1" applyBorder="1" applyAlignment="1">
      <alignment wrapText="1"/>
    </xf>
    <xf numFmtId="49" fontId="0" fillId="25" borderId="13" xfId="0" applyNumberFormat="1" applyFill="1" applyBorder="1" applyAlignment="1">
      <alignment horizontal="left"/>
    </xf>
    <xf numFmtId="0" fontId="0" fillId="25" borderId="13" xfId="0" applyFill="1" applyBorder="1" applyAlignment="1">
      <alignment horizontal="center" vertical="center"/>
    </xf>
    <xf numFmtId="0" fontId="0" fillId="25" borderId="13" xfId="0" applyFill="1" applyBorder="1" applyAlignment="1">
      <alignment horizontal="right"/>
    </xf>
    <xf numFmtId="0" fontId="8" fillId="25" borderId="13" xfId="0" applyFont="1" applyFill="1" applyBorder="1" applyAlignment="1">
      <alignment horizontal="right"/>
    </xf>
    <xf numFmtId="0" fontId="8" fillId="25" borderId="14" xfId="0" applyFont="1" applyFill="1" applyBorder="1" applyAlignment="1">
      <alignment horizontal="right" wrapText="1"/>
    </xf>
    <xf numFmtId="49" fontId="0" fillId="26" borderId="10" xfId="0" applyNumberFormat="1" applyFill="1" applyBorder="1" applyAlignment="1">
      <alignment horizontal="left" vertical="center" wrapText="1"/>
    </xf>
    <xf numFmtId="49" fontId="0" fillId="25" borderId="10" xfId="0" applyNumberFormat="1" applyFill="1" applyBorder="1" applyAlignment="1">
      <alignment wrapText="1"/>
    </xf>
    <xf numFmtId="49" fontId="0" fillId="28" borderId="10" xfId="0" applyNumberFormat="1" applyFill="1" applyBorder="1" applyAlignment="1">
      <alignment wrapText="1"/>
    </xf>
    <xf numFmtId="49" fontId="0" fillId="23" borderId="10" xfId="0" applyNumberFormat="1" applyFill="1" applyBorder="1"/>
    <xf numFmtId="49" fontId="0" fillId="29" borderId="10" xfId="0" applyNumberFormat="1" applyFill="1" applyBorder="1" applyAlignment="1">
      <alignment wrapText="1"/>
    </xf>
    <xf numFmtId="49" fontId="0" fillId="0" borderId="0" xfId="0" applyNumberFormat="1"/>
    <xf numFmtId="49" fontId="0" fillId="25" borderId="13" xfId="0" applyNumberFormat="1" applyFill="1" applyBorder="1" applyAlignment="1">
      <alignment horizontal="left" wrapText="1"/>
    </xf>
    <xf numFmtId="49" fontId="0" fillId="30" borderId="10" xfId="0" applyNumberFormat="1" applyFill="1" applyBorder="1" applyAlignment="1">
      <alignment wrapText="1"/>
    </xf>
    <xf numFmtId="49" fontId="0" fillId="25" borderId="13" xfId="0" applyNumberFormat="1" applyFill="1" applyBorder="1" applyAlignment="1">
      <alignment wrapText="1"/>
    </xf>
    <xf numFmtId="0" fontId="0" fillId="0" borderId="10" xfId="0" applyBorder="1"/>
    <xf numFmtId="0" fontId="0" fillId="0" borderId="10" xfId="0" applyBorder="1" applyAlignment="1">
      <alignment wrapText="1"/>
    </xf>
    <xf numFmtId="0" fontId="0" fillId="26" borderId="11" xfId="0" applyFill="1" applyBorder="1" applyAlignment="1">
      <alignment horizontal="right" vertical="center" wrapText="1"/>
    </xf>
    <xf numFmtId="0" fontId="0" fillId="25" borderId="11" xfId="0" applyFill="1" applyBorder="1" applyAlignment="1">
      <alignment horizontal="right"/>
    </xf>
    <xf numFmtId="0" fontId="0" fillId="28" borderId="11" xfId="0" applyFill="1" applyBorder="1" applyAlignment="1">
      <alignment horizontal="right"/>
    </xf>
    <xf numFmtId="0" fontId="0" fillId="23" borderId="11" xfId="0" applyFill="1" applyBorder="1" applyAlignment="1">
      <alignment horizontal="right"/>
    </xf>
    <xf numFmtId="0" fontId="0" fillId="29" borderId="11" xfId="0" applyFill="1" applyBorder="1" applyAlignment="1">
      <alignment horizontal="right"/>
    </xf>
    <xf numFmtId="0" fontId="0" fillId="30" borderId="11" xfId="0" applyFill="1" applyBorder="1" applyAlignment="1">
      <alignment horizontal="right"/>
    </xf>
    <xf numFmtId="0" fontId="0" fillId="23" borderId="11" xfId="0" applyFill="1" applyBorder="1" applyAlignment="1">
      <alignment horizontal="right" wrapText="1"/>
    </xf>
    <xf numFmtId="0" fontId="0" fillId="20" borderId="12" xfId="0" applyFill="1" applyBorder="1" applyAlignment="1">
      <alignment wrapText="1"/>
    </xf>
    <xf numFmtId="0" fontId="0" fillId="20" borderId="13" xfId="0" applyFill="1" applyBorder="1" applyAlignment="1">
      <alignment wrapText="1"/>
    </xf>
    <xf numFmtId="49" fontId="0" fillId="20" borderId="13" xfId="0" applyNumberFormat="1" applyFill="1" applyBorder="1" applyAlignment="1">
      <alignment wrapText="1"/>
    </xf>
    <xf numFmtId="0" fontId="0" fillId="20" borderId="13" xfId="0" applyFill="1" applyBorder="1" applyAlignment="1">
      <alignment horizontal="center" vertical="center" wrapText="1"/>
    </xf>
    <xf numFmtId="49" fontId="0" fillId="0" borderId="1" xfId="0" applyNumberFormat="1" applyBorder="1"/>
    <xf numFmtId="49" fontId="5" fillId="0" borderId="0" xfId="0" applyNumberFormat="1" applyFont="1"/>
    <xf numFmtId="49" fontId="5" fillId="0" borderId="0" xfId="0" applyNumberFormat="1" applyFont="1" applyAlignment="1">
      <alignment wrapText="1"/>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0" fillId="6" borderId="7" xfId="0" applyNumberFormat="1" applyFill="1" applyBorder="1" applyAlignment="1">
      <alignment vertical="center"/>
    </xf>
    <xf numFmtId="49" fontId="0" fillId="6" borderId="6" xfId="0" applyNumberFormat="1" applyFill="1" applyBorder="1" applyAlignment="1">
      <alignment vertical="center"/>
    </xf>
    <xf numFmtId="49" fontId="0" fillId="6" borderId="8" xfId="0" applyNumberFormat="1" applyFill="1" applyBorder="1" applyAlignment="1">
      <alignment vertical="center" wrapText="1"/>
    </xf>
    <xf numFmtId="49" fontId="0" fillId="6" borderId="9" xfId="0" applyNumberFormat="1" applyFill="1" applyBorder="1" applyAlignment="1">
      <alignment vertical="center"/>
    </xf>
    <xf numFmtId="49" fontId="0" fillId="6" borderId="10" xfId="0" applyNumberFormat="1" applyFill="1" applyBorder="1" applyAlignment="1">
      <alignment vertical="center"/>
    </xf>
    <xf numFmtId="49" fontId="0" fillId="6" borderId="11" xfId="0" applyNumberFormat="1" applyFill="1" applyBorder="1" applyAlignment="1">
      <alignment vertical="center" wrapText="1"/>
    </xf>
    <xf numFmtId="49" fontId="7" fillId="6" borderId="9" xfId="0" applyNumberFormat="1" applyFont="1" applyFill="1" applyBorder="1" applyAlignment="1">
      <alignment vertical="center"/>
    </xf>
    <xf numFmtId="49" fontId="0" fillId="5" borderId="9" xfId="0" applyNumberFormat="1" applyFill="1" applyBorder="1" applyAlignment="1">
      <alignment vertical="center"/>
    </xf>
    <xf numFmtId="49" fontId="0" fillId="5" borderId="10" xfId="0" applyNumberFormat="1" applyFill="1" applyBorder="1" applyAlignment="1">
      <alignment vertical="center"/>
    </xf>
    <xf numFmtId="49" fontId="0" fillId="5" borderId="11" xfId="0" applyNumberFormat="1" applyFill="1" applyBorder="1" applyAlignment="1">
      <alignment vertical="center" wrapText="1"/>
    </xf>
    <xf numFmtId="49" fontId="0" fillId="6" borderId="12" xfId="0" applyNumberFormat="1" applyFill="1" applyBorder="1" applyAlignment="1">
      <alignment vertical="center"/>
    </xf>
    <xf numFmtId="49" fontId="0" fillId="6" borderId="13" xfId="0" applyNumberFormat="1" applyFill="1" applyBorder="1" applyAlignment="1">
      <alignment vertical="center"/>
    </xf>
    <xf numFmtId="49" fontId="0" fillId="6" borderId="14" xfId="0" applyNumberFormat="1" applyFill="1" applyBorder="1" applyAlignment="1">
      <alignment vertical="center" wrapText="1"/>
    </xf>
    <xf numFmtId="49" fontId="0" fillId="21" borderId="14" xfId="0" applyNumberFormat="1" applyFill="1" applyBorder="1" applyAlignment="1">
      <alignment wrapText="1"/>
    </xf>
    <xf numFmtId="0" fontId="9" fillId="2" borderId="10" xfId="0" applyFont="1" applyFill="1" applyBorder="1" applyAlignment="1">
      <alignment horizontal="center" vertical="center" wrapText="1"/>
    </xf>
    <xf numFmtId="49" fontId="9" fillId="2" borderId="10" xfId="0" applyNumberFormat="1" applyFont="1" applyFill="1" applyBorder="1" applyAlignment="1">
      <alignment horizontal="center" vertical="center" wrapText="1"/>
    </xf>
    <xf numFmtId="0" fontId="4" fillId="0" borderId="0" xfId="0" applyFont="1" applyAlignment="1">
      <alignment horizontal="center" vertical="center" wrapText="1"/>
    </xf>
    <xf numFmtId="0" fontId="9" fillId="2" borderId="7" xfId="0" applyFont="1" applyFill="1" applyBorder="1" applyAlignment="1">
      <alignment horizontal="center" vertical="center" wrapText="1"/>
    </xf>
    <xf numFmtId="0" fontId="9" fillId="2" borderId="6" xfId="0" applyFont="1" applyFill="1" applyBorder="1" applyAlignment="1">
      <alignment horizontal="center" vertical="center" wrapText="1"/>
    </xf>
    <xf numFmtId="49" fontId="9" fillId="2" borderId="6" xfId="0" applyNumberFormat="1"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4" fillId="6" borderId="0" xfId="0" applyFont="1" applyFill="1" applyAlignment="1">
      <alignment vertical="center"/>
    </xf>
    <xf numFmtId="0" fontId="0" fillId="6" borderId="0" xfId="0" applyFill="1" applyAlignment="1">
      <alignment vertical="center" wrapText="1"/>
    </xf>
    <xf numFmtId="0" fontId="0" fillId="4" borderId="0" xfId="0" applyFill="1" applyAlignment="1">
      <alignment vertical="center"/>
    </xf>
    <xf numFmtId="0" fontId="0" fillId="4" borderId="0" xfId="0" applyFill="1" applyAlignment="1">
      <alignment vertical="center" wrapText="1"/>
    </xf>
    <xf numFmtId="0" fontId="0" fillId="32" borderId="0" xfId="0" applyFill="1" applyAlignment="1">
      <alignment vertical="center"/>
    </xf>
    <xf numFmtId="0" fontId="0" fillId="32" borderId="0" xfId="0" applyFill="1" applyAlignment="1">
      <alignment vertical="center" wrapText="1"/>
    </xf>
    <xf numFmtId="0" fontId="0" fillId="33" borderId="0" xfId="0" applyFill="1" applyAlignment="1">
      <alignment vertical="center"/>
    </xf>
    <xf numFmtId="0" fontId="0" fillId="33" borderId="0" xfId="0" applyFill="1" applyAlignment="1">
      <alignment vertical="center" wrapText="1"/>
    </xf>
    <xf numFmtId="0" fontId="0" fillId="34" borderId="0" xfId="0" applyFill="1" applyAlignment="1">
      <alignment vertical="center"/>
    </xf>
    <xf numFmtId="0" fontId="0" fillId="34" borderId="0" xfId="0" applyFill="1" applyAlignment="1">
      <alignment vertical="center" wrapText="1"/>
    </xf>
    <xf numFmtId="0" fontId="0" fillId="35" borderId="0" xfId="0" applyFill="1" applyAlignment="1">
      <alignment vertical="center"/>
    </xf>
    <xf numFmtId="0" fontId="0" fillId="35" borderId="0" xfId="0" applyFill="1" applyAlignment="1">
      <alignment vertical="center" wrapText="1"/>
    </xf>
    <xf numFmtId="0" fontId="4" fillId="36" borderId="0" xfId="0" applyFont="1" applyFill="1" applyAlignment="1">
      <alignment vertical="center"/>
    </xf>
    <xf numFmtId="0" fontId="4" fillId="36" borderId="0" xfId="0" applyFont="1" applyFill="1" applyAlignment="1">
      <alignment vertical="center" wrapText="1"/>
    </xf>
    <xf numFmtId="0" fontId="2" fillId="12" borderId="17" xfId="1" applyFont="1" applyFill="1" applyBorder="1" applyAlignment="1">
      <alignment wrapText="1"/>
    </xf>
    <xf numFmtId="0" fontId="2" fillId="10" borderId="17" xfId="1" applyFont="1" applyFill="1" applyBorder="1" applyAlignment="1">
      <alignment wrapText="1"/>
    </xf>
    <xf numFmtId="49" fontId="2" fillId="2" borderId="20" xfId="0" applyNumberFormat="1" applyFont="1" applyFill="1" applyBorder="1" applyAlignment="1">
      <alignment horizontal="center" vertical="center" wrapText="1"/>
    </xf>
    <xf numFmtId="49" fontId="0" fillId="25" borderId="11" xfId="0" applyNumberFormat="1" applyFill="1" applyBorder="1" applyAlignment="1">
      <alignment horizontal="left"/>
    </xf>
    <xf numFmtId="49" fontId="0" fillId="28" borderId="11" xfId="0" applyNumberFormat="1" applyFill="1" applyBorder="1" applyAlignment="1">
      <alignment horizontal="left"/>
    </xf>
    <xf numFmtId="49" fontId="0" fillId="23" borderId="11" xfId="0" applyNumberFormat="1" applyFill="1" applyBorder="1" applyAlignment="1">
      <alignment horizontal="left"/>
    </xf>
    <xf numFmtId="49" fontId="0" fillId="29" borderId="11" xfId="0" applyNumberFormat="1" applyFill="1" applyBorder="1" applyAlignment="1">
      <alignment horizontal="left"/>
    </xf>
    <xf numFmtId="49" fontId="0" fillId="25" borderId="14" xfId="0" applyNumberFormat="1" applyFill="1" applyBorder="1" applyAlignment="1">
      <alignment horizontal="left"/>
    </xf>
    <xf numFmtId="49" fontId="0" fillId="30" borderId="11" xfId="0" applyNumberFormat="1" applyFill="1" applyBorder="1" applyAlignment="1">
      <alignment horizontal="left"/>
    </xf>
    <xf numFmtId="49" fontId="0" fillId="26" borderId="11" xfId="0" applyNumberFormat="1" applyFill="1" applyBorder="1" applyAlignment="1">
      <alignment horizontal="left" wrapText="1"/>
    </xf>
    <xf numFmtId="49" fontId="9" fillId="2" borderId="24" xfId="0" applyNumberFormat="1" applyFont="1" applyFill="1" applyBorder="1" applyAlignment="1">
      <alignment horizontal="center" vertical="center" wrapText="1"/>
    </xf>
    <xf numFmtId="49" fontId="0" fillId="23" borderId="11" xfId="0" applyNumberFormat="1" applyFill="1" applyBorder="1" applyAlignment="1">
      <alignment horizontal="right"/>
    </xf>
    <xf numFmtId="0" fontId="0" fillId="23" borderId="11" xfId="0" applyFill="1" applyBorder="1" applyAlignment="1">
      <alignment horizontal="left"/>
    </xf>
    <xf numFmtId="49" fontId="2" fillId="2" borderId="0" xfId="0" applyNumberFormat="1" applyFont="1" applyFill="1" applyAlignment="1">
      <alignment horizontal="center" vertical="center" wrapText="1"/>
    </xf>
    <xf numFmtId="49" fontId="10" fillId="20" borderId="13" xfId="0" applyNumberFormat="1" applyFont="1" applyFill="1" applyBorder="1" applyAlignment="1">
      <alignment wrapText="1"/>
    </xf>
    <xf numFmtId="0" fontId="0" fillId="19" borderId="11" xfId="0" applyFill="1" applyBorder="1" applyAlignment="1">
      <alignment horizontal="right" wrapText="1"/>
    </xf>
    <xf numFmtId="0" fontId="0" fillId="20" borderId="11" xfId="0" applyFill="1" applyBorder="1" applyAlignment="1">
      <alignment horizontal="right" wrapText="1"/>
    </xf>
    <xf numFmtId="0" fontId="2" fillId="21" borderId="11" xfId="0" applyFont="1" applyFill="1" applyBorder="1" applyAlignment="1">
      <alignment horizontal="right" wrapText="1"/>
    </xf>
    <xf numFmtId="0" fontId="0" fillId="21" borderId="11" xfId="0" applyFill="1" applyBorder="1" applyAlignment="1">
      <alignment horizontal="right" wrapText="1"/>
    </xf>
    <xf numFmtId="0" fontId="0" fillId="22" borderId="11" xfId="0" applyFill="1" applyBorder="1" applyAlignment="1">
      <alignment horizontal="right" wrapText="1"/>
    </xf>
    <xf numFmtId="49" fontId="0" fillId="21" borderId="14" xfId="0" applyNumberFormat="1" applyFill="1" applyBorder="1" applyAlignment="1">
      <alignment horizontal="right" wrapText="1"/>
    </xf>
    <xf numFmtId="0" fontId="0" fillId="21" borderId="14" xfId="0" applyFill="1" applyBorder="1" applyAlignment="1">
      <alignment horizontal="right" wrapText="1"/>
    </xf>
    <xf numFmtId="0" fontId="0" fillId="23" borderId="14" xfId="0" applyFill="1" applyBorder="1" applyAlignment="1">
      <alignment horizontal="right" wrapText="1"/>
    </xf>
    <xf numFmtId="49" fontId="0" fillId="20" borderId="13" xfId="0" applyNumberFormat="1" applyFill="1" applyBorder="1" applyAlignment="1">
      <alignment horizontal="right" wrapText="1"/>
    </xf>
    <xf numFmtId="0" fontId="0" fillId="0" borderId="0" xfId="0" applyAlignment="1">
      <alignment horizontal="right" wrapText="1"/>
    </xf>
    <xf numFmtId="49" fontId="9" fillId="2" borderId="25" xfId="0" applyNumberFormat="1" applyFont="1" applyFill="1" applyBorder="1" applyAlignment="1">
      <alignment horizontal="center" vertical="center" wrapText="1"/>
    </xf>
    <xf numFmtId="49" fontId="9" fillId="2" borderId="0" xfId="0" applyNumberFormat="1" applyFont="1" applyFill="1" applyAlignment="1">
      <alignment horizontal="center" vertical="center" wrapText="1"/>
    </xf>
    <xf numFmtId="0" fontId="10" fillId="17" borderId="11" xfId="0" applyFont="1" applyFill="1" applyBorder="1" applyAlignment="1">
      <alignment wrapText="1"/>
    </xf>
    <xf numFmtId="0" fontId="10" fillId="14" borderId="17" xfId="0" applyFont="1" applyFill="1" applyBorder="1" applyAlignment="1">
      <alignment wrapText="1"/>
    </xf>
    <xf numFmtId="0" fontId="10" fillId="13" borderId="17" xfId="0" applyFont="1" applyFill="1" applyBorder="1" applyAlignment="1">
      <alignment wrapText="1"/>
    </xf>
    <xf numFmtId="0" fontId="10" fillId="12" borderId="17" xfId="0" applyFont="1" applyFill="1" applyBorder="1" applyAlignment="1">
      <alignment wrapText="1"/>
    </xf>
    <xf numFmtId="49" fontId="10" fillId="25" borderId="11" xfId="0" applyNumberFormat="1" applyFont="1" applyFill="1" applyBorder="1" applyAlignment="1">
      <alignment horizontal="left"/>
    </xf>
    <xf numFmtId="49" fontId="10" fillId="28" borderId="11" xfId="0" applyNumberFormat="1" applyFont="1" applyFill="1" applyBorder="1" applyAlignment="1">
      <alignment horizontal="left"/>
    </xf>
    <xf numFmtId="49" fontId="10" fillId="29" borderId="11" xfId="0" applyNumberFormat="1" applyFont="1" applyFill="1" applyBorder="1" applyAlignment="1">
      <alignment horizontal="left"/>
    </xf>
    <xf numFmtId="49" fontId="10" fillId="23" borderId="11" xfId="0" applyNumberFormat="1" applyFont="1" applyFill="1" applyBorder="1" applyAlignment="1">
      <alignment horizontal="left"/>
    </xf>
    <xf numFmtId="49" fontId="10" fillId="25" borderId="14" xfId="0" applyNumberFormat="1" applyFont="1" applyFill="1" applyBorder="1" applyAlignment="1">
      <alignment horizontal="left"/>
    </xf>
    <xf numFmtId="49" fontId="10" fillId="30" borderId="11" xfId="0" applyNumberFormat="1" applyFont="1" applyFill="1" applyBorder="1" applyAlignment="1">
      <alignment horizontal="left"/>
    </xf>
    <xf numFmtId="49" fontId="9" fillId="2" borderId="6" xfId="0" applyNumberFormat="1" applyFont="1" applyFill="1" applyBorder="1" applyAlignment="1">
      <alignment horizontal="left" vertical="center" wrapText="1"/>
    </xf>
    <xf numFmtId="49" fontId="2" fillId="2" borderId="6" xfId="0" applyNumberFormat="1" applyFont="1" applyFill="1" applyBorder="1" applyAlignment="1">
      <alignment horizontal="left" vertical="center" wrapText="1"/>
    </xf>
    <xf numFmtId="49" fontId="0" fillId="19" borderId="10" xfId="0" applyNumberFormat="1" applyFill="1" applyBorder="1" applyAlignment="1">
      <alignment horizontal="left" wrapText="1"/>
    </xf>
    <xf numFmtId="49" fontId="0" fillId="20" borderId="10" xfId="0" applyNumberFormat="1" applyFill="1" applyBorder="1" applyAlignment="1">
      <alignment horizontal="left" wrapText="1"/>
    </xf>
    <xf numFmtId="49" fontId="0" fillId="21" borderId="10" xfId="0" applyNumberFormat="1" applyFill="1" applyBorder="1" applyAlignment="1">
      <alignment horizontal="left" wrapText="1"/>
    </xf>
    <xf numFmtId="49" fontId="0" fillId="22" borderId="10" xfId="0" applyNumberFormat="1" applyFill="1" applyBorder="1" applyAlignment="1">
      <alignment horizontal="left" wrapText="1"/>
    </xf>
    <xf numFmtId="49" fontId="0" fillId="21" borderId="13" xfId="0" applyNumberFormat="1" applyFill="1" applyBorder="1" applyAlignment="1">
      <alignment horizontal="left" wrapText="1"/>
    </xf>
    <xf numFmtId="49" fontId="0" fillId="23" borderId="13" xfId="0" applyNumberFormat="1" applyFill="1" applyBorder="1" applyAlignment="1">
      <alignment horizontal="left" wrapText="1"/>
    </xf>
    <xf numFmtId="49" fontId="0" fillId="20" borderId="13" xfId="0" applyNumberFormat="1" applyFill="1" applyBorder="1" applyAlignment="1">
      <alignment horizontal="left" wrapText="1"/>
    </xf>
    <xf numFmtId="49" fontId="0" fillId="0" borderId="0" xfId="0" applyNumberFormat="1" applyAlignment="1">
      <alignment horizontal="left" wrapText="1"/>
    </xf>
    <xf numFmtId="0" fontId="0" fillId="33" borderId="0" xfId="0" applyFill="1"/>
    <xf numFmtId="0" fontId="0" fillId="26" borderId="9" xfId="0" applyFill="1" applyBorder="1"/>
    <xf numFmtId="0" fontId="0" fillId="26" borderId="10" xfId="0" applyFill="1" applyBorder="1" applyAlignment="1">
      <alignment horizontal="left"/>
    </xf>
    <xf numFmtId="0" fontId="0" fillId="26" borderId="10" xfId="0" applyFill="1" applyBorder="1" applyAlignment="1">
      <alignment wrapText="1"/>
    </xf>
    <xf numFmtId="49" fontId="0" fillId="26" borderId="10" xfId="0" applyNumberFormat="1" applyFill="1" applyBorder="1"/>
    <xf numFmtId="49" fontId="0" fillId="26" borderId="10" xfId="0" applyNumberFormat="1" applyFill="1" applyBorder="1" applyAlignment="1">
      <alignment horizontal="left"/>
    </xf>
    <xf numFmtId="0" fontId="0" fillId="26" borderId="10" xfId="0" applyFill="1" applyBorder="1" applyAlignment="1">
      <alignment horizontal="center" vertical="center"/>
    </xf>
    <xf numFmtId="0" fontId="0" fillId="26" borderId="11" xfId="0" applyFill="1" applyBorder="1" applyAlignment="1">
      <alignment horizontal="right"/>
    </xf>
    <xf numFmtId="0" fontId="0" fillId="26" borderId="10" xfId="0" applyFill="1" applyBorder="1" applyAlignment="1">
      <alignment horizontal="right"/>
    </xf>
    <xf numFmtId="0" fontId="0" fillId="26" borderId="11" xfId="0" applyFill="1" applyBorder="1"/>
    <xf numFmtId="49" fontId="0" fillId="26" borderId="11" xfId="0" applyNumberFormat="1" applyFill="1" applyBorder="1" applyAlignment="1">
      <alignment horizontal="left"/>
    </xf>
    <xf numFmtId="0" fontId="0" fillId="26" borderId="0" xfId="0" applyFill="1"/>
    <xf numFmtId="0" fontId="0" fillId="26" borderId="11" xfId="0" applyFill="1" applyBorder="1" applyAlignment="1">
      <alignment horizontal="right" wrapText="1"/>
    </xf>
    <xf numFmtId="49" fontId="0" fillId="26" borderId="11" xfId="0" applyNumberFormat="1" applyFill="1" applyBorder="1" applyAlignment="1">
      <alignment horizontal="right"/>
    </xf>
    <xf numFmtId="0" fontId="0" fillId="26" borderId="11" xfId="0" applyFill="1" applyBorder="1" applyAlignment="1">
      <alignment horizontal="left"/>
    </xf>
    <xf numFmtId="0" fontId="0" fillId="32" borderId="9" xfId="0" applyFill="1" applyBorder="1" applyAlignment="1">
      <alignment wrapText="1"/>
    </xf>
    <xf numFmtId="0" fontId="0" fillId="32" borderId="10" xfId="0" applyFill="1" applyBorder="1" applyAlignment="1">
      <alignment wrapText="1"/>
    </xf>
    <xf numFmtId="49" fontId="0" fillId="32" borderId="10" xfId="0" applyNumberFormat="1" applyFill="1" applyBorder="1" applyAlignment="1">
      <alignment wrapText="1"/>
    </xf>
    <xf numFmtId="0" fontId="0" fillId="32" borderId="10" xfId="0" applyFill="1" applyBorder="1" applyAlignment="1">
      <alignment horizontal="center" vertical="center" wrapText="1"/>
    </xf>
    <xf numFmtId="0" fontId="0" fillId="32" borderId="11" xfId="0" applyFill="1" applyBorder="1" applyAlignment="1">
      <alignment wrapText="1"/>
    </xf>
    <xf numFmtId="0" fontId="0" fillId="32" borderId="11" xfId="0" applyFill="1" applyBorder="1" applyAlignment="1">
      <alignment horizontal="right" wrapText="1"/>
    </xf>
    <xf numFmtId="0" fontId="0" fillId="32" borderId="0" xfId="0" applyFill="1"/>
    <xf numFmtId="49" fontId="0" fillId="32" borderId="13" xfId="0" applyNumberFormat="1" applyFill="1" applyBorder="1" applyAlignment="1">
      <alignment wrapText="1"/>
    </xf>
    <xf numFmtId="0" fontId="0" fillId="32" borderId="12" xfId="0" applyFill="1" applyBorder="1" applyAlignment="1">
      <alignment wrapText="1"/>
    </xf>
    <xf numFmtId="0" fontId="0" fillId="32" borderId="13" xfId="0" applyFill="1" applyBorder="1" applyAlignment="1">
      <alignment wrapText="1"/>
    </xf>
    <xf numFmtId="0" fontId="0" fillId="32" borderId="13" xfId="0" applyFill="1" applyBorder="1" applyAlignment="1">
      <alignment horizontal="center" vertical="center" wrapText="1"/>
    </xf>
    <xf numFmtId="0" fontId="0" fillId="32" borderId="14" xfId="0" applyFill="1" applyBorder="1" applyAlignment="1">
      <alignment wrapText="1"/>
    </xf>
    <xf numFmtId="0" fontId="0" fillId="32" borderId="14" xfId="0" applyFill="1" applyBorder="1" applyAlignment="1">
      <alignment horizontal="right" wrapText="1"/>
    </xf>
    <xf numFmtId="0" fontId="0" fillId="6" borderId="0" xfId="0" applyFill="1" applyAlignment="1">
      <alignment wrapText="1"/>
    </xf>
    <xf numFmtId="0" fontId="0" fillId="37" borderId="9" xfId="0" applyFill="1" applyBorder="1" applyAlignment="1">
      <alignment wrapText="1"/>
    </xf>
    <xf numFmtId="0" fontId="0" fillId="37" borderId="10" xfId="0" applyFill="1" applyBorder="1" applyAlignment="1">
      <alignment wrapText="1"/>
    </xf>
    <xf numFmtId="49" fontId="0" fillId="37" borderId="10" xfId="0" applyNumberFormat="1" applyFill="1" applyBorder="1" applyAlignment="1">
      <alignment wrapText="1"/>
    </xf>
    <xf numFmtId="49" fontId="0" fillId="37" borderId="10" xfId="0" applyNumberFormat="1" applyFill="1" applyBorder="1" applyAlignment="1">
      <alignment horizontal="left" wrapText="1"/>
    </xf>
    <xf numFmtId="49" fontId="0" fillId="37" borderId="10" xfId="0" applyNumberFormat="1" applyFill="1" applyBorder="1" applyAlignment="1">
      <alignment horizontal="center" vertical="center" wrapText="1"/>
    </xf>
    <xf numFmtId="0" fontId="0" fillId="37" borderId="11" xfId="0" applyFill="1" applyBorder="1" applyAlignment="1">
      <alignment wrapText="1"/>
    </xf>
    <xf numFmtId="0" fontId="0" fillId="37" borderId="0" xfId="0" applyFill="1"/>
    <xf numFmtId="0" fontId="0" fillId="37" borderId="0" xfId="0" applyFill="1" applyAlignment="1">
      <alignment wrapText="1"/>
    </xf>
    <xf numFmtId="49" fontId="8" fillId="37" borderId="10" xfId="0" applyNumberFormat="1" applyFont="1" applyFill="1" applyBorder="1" applyAlignment="1">
      <alignment horizontal="left" wrapText="1"/>
    </xf>
    <xf numFmtId="0" fontId="1" fillId="26" borderId="10" xfId="1" applyNumberFormat="1" applyFill="1" applyBorder="1" applyAlignment="1">
      <alignment horizontal="left" wrapText="1"/>
    </xf>
    <xf numFmtId="0" fontId="1" fillId="32" borderId="10" xfId="1" applyNumberFormat="1" applyFill="1" applyBorder="1" applyAlignment="1">
      <alignment horizontal="left" wrapText="1"/>
    </xf>
    <xf numFmtId="0" fontId="1" fillId="32" borderId="13" xfId="1" applyNumberFormat="1" applyFill="1" applyBorder="1" applyAlignment="1">
      <alignment horizontal="left" wrapText="1"/>
    </xf>
    <xf numFmtId="0" fontId="1" fillId="6" borderId="10" xfId="1" applyFill="1" applyBorder="1" applyAlignment="1">
      <alignment wrapText="1"/>
    </xf>
    <xf numFmtId="0" fontId="1" fillId="37" borderId="10" xfId="1" applyFill="1" applyBorder="1" applyAlignment="1">
      <alignment horizontal="left" wrapText="1"/>
    </xf>
    <xf numFmtId="0" fontId="1" fillId="0" borderId="10" xfId="1" applyBorder="1" applyAlignment="1">
      <alignment wrapText="1"/>
    </xf>
    <xf numFmtId="49" fontId="12" fillId="3" borderId="4" xfId="0" applyNumberFormat="1" applyFont="1" applyFill="1" applyBorder="1"/>
    <xf numFmtId="49" fontId="12" fillId="3" borderId="5" xfId="0" applyNumberFormat="1" applyFont="1" applyFill="1" applyBorder="1" applyAlignment="1">
      <alignment wrapText="1"/>
    </xf>
    <xf numFmtId="49" fontId="13" fillId="0" borderId="0" xfId="0" applyNumberFormat="1" applyFont="1" applyAlignment="1">
      <alignment horizontal="left" vertical="center"/>
    </xf>
    <xf numFmtId="49" fontId="14" fillId="0" borderId="0" xfId="0" applyNumberFormat="1" applyFont="1" applyAlignment="1">
      <alignment horizontal="left" vertical="center" wrapText="1"/>
    </xf>
    <xf numFmtId="49" fontId="13" fillId="0" borderId="0" xfId="0" applyNumberFormat="1" applyFont="1" applyAlignment="1">
      <alignment horizontal="left" vertical="center" wrapText="1"/>
    </xf>
    <xf numFmtId="49" fontId="0" fillId="0" borderId="0" xfId="0" applyNumberFormat="1" applyAlignment="1">
      <alignment vertical="center" wrapText="1"/>
    </xf>
    <xf numFmtId="0" fontId="9" fillId="2" borderId="17" xfId="0" applyFont="1" applyFill="1" applyBorder="1" applyAlignment="1">
      <alignment horizontal="center" vertical="center" wrapText="1"/>
    </xf>
    <xf numFmtId="49" fontId="0" fillId="6" borderId="0" xfId="0" applyNumberFormat="1" applyFill="1" applyAlignment="1">
      <alignment vertical="center"/>
    </xf>
    <xf numFmtId="49" fontId="0" fillId="6" borderId="0" xfId="0" applyNumberFormat="1" applyFill="1" applyAlignment="1">
      <alignment vertical="center" wrapText="1"/>
    </xf>
    <xf numFmtId="49" fontId="0" fillId="22" borderId="10" xfId="0" applyNumberFormat="1" applyFill="1" applyBorder="1" applyAlignment="1">
      <alignment horizontal="right" wrapText="1"/>
    </xf>
    <xf numFmtId="0" fontId="0" fillId="30" borderId="11" xfId="0" applyFill="1" applyBorder="1" applyAlignment="1">
      <alignment horizontal="right" wrapText="1"/>
    </xf>
    <xf numFmtId="0" fontId="0" fillId="38" borderId="10" xfId="0" applyFill="1" applyBorder="1" applyAlignment="1">
      <alignment wrapText="1"/>
    </xf>
    <xf numFmtId="49" fontId="0" fillId="38" borderId="10" xfId="0" applyNumberFormat="1" applyFill="1" applyBorder="1" applyAlignment="1">
      <alignment wrapText="1"/>
    </xf>
    <xf numFmtId="0" fontId="0" fillId="38" borderId="10" xfId="0" applyFill="1" applyBorder="1" applyAlignment="1">
      <alignment horizontal="center" vertical="center" wrapText="1"/>
    </xf>
    <xf numFmtId="0" fontId="9" fillId="2" borderId="24"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0" fillId="0" borderId="13" xfId="0" applyBorder="1" applyAlignment="1">
      <alignment wrapText="1"/>
    </xf>
    <xf numFmtId="0" fontId="0" fillId="0" borderId="13" xfId="0" applyBorder="1"/>
    <xf numFmtId="0" fontId="1" fillId="0" borderId="13" xfId="1" applyBorder="1" applyAlignment="1">
      <alignment wrapText="1"/>
    </xf>
    <xf numFmtId="0" fontId="0" fillId="18" borderId="14" xfId="0" applyFill="1" applyBorder="1" applyAlignment="1">
      <alignment wrapText="1"/>
    </xf>
    <xf numFmtId="0" fontId="2" fillId="2" borderId="10" xfId="0" applyFont="1" applyFill="1" applyBorder="1" applyAlignment="1">
      <alignment horizontal="center" vertical="center" wrapText="1"/>
    </xf>
    <xf numFmtId="0" fontId="0" fillId="15" borderId="8" xfId="0" applyFill="1" applyBorder="1" applyAlignment="1">
      <alignment wrapText="1"/>
    </xf>
    <xf numFmtId="49" fontId="0" fillId="20" borderId="14" xfId="0" applyNumberFormat="1" applyFill="1" applyBorder="1" applyAlignment="1">
      <alignment wrapText="1"/>
    </xf>
    <xf numFmtId="0" fontId="0" fillId="21" borderId="10" xfId="0" applyFill="1" applyBorder="1"/>
    <xf numFmtId="0" fontId="0" fillId="20" borderId="10" xfId="0" applyFill="1" applyBorder="1"/>
    <xf numFmtId="0" fontId="0" fillId="22" borderId="10" xfId="0" applyFill="1" applyBorder="1"/>
    <xf numFmtId="0" fontId="0" fillId="39" borderId="11" xfId="0" applyFill="1" applyBorder="1" applyAlignment="1">
      <alignment wrapText="1"/>
    </xf>
    <xf numFmtId="0" fontId="0" fillId="39" borderId="10" xfId="0" applyFill="1" applyBorder="1"/>
    <xf numFmtId="0" fontId="0" fillId="25" borderId="10" xfId="0" applyFill="1" applyBorder="1"/>
    <xf numFmtId="0" fontId="0" fillId="28" borderId="10" xfId="0" applyFill="1" applyBorder="1"/>
    <xf numFmtId="0" fontId="0" fillId="29" borderId="10" xfId="0" applyFill="1" applyBorder="1"/>
    <xf numFmtId="0" fontId="0" fillId="10" borderId="10" xfId="0" applyFill="1" applyBorder="1" applyAlignment="1">
      <alignment wrapText="1"/>
    </xf>
    <xf numFmtId="0" fontId="0" fillId="13" borderId="10" xfId="0" applyFill="1" applyBorder="1" applyAlignment="1">
      <alignment wrapText="1"/>
    </xf>
    <xf numFmtId="0" fontId="0" fillId="12" borderId="10" xfId="0" applyFill="1" applyBorder="1" applyAlignment="1">
      <alignment wrapText="1"/>
    </xf>
    <xf numFmtId="0" fontId="0" fillId="14" borderId="10" xfId="0" applyFill="1" applyBorder="1" applyAlignment="1">
      <alignment wrapText="1"/>
    </xf>
    <xf numFmtId="0" fontId="0" fillId="6" borderId="9" xfId="0" applyFill="1" applyBorder="1" applyAlignment="1">
      <alignment wrapText="1"/>
    </xf>
    <xf numFmtId="0" fontId="0" fillId="8" borderId="9" xfId="0" applyFill="1" applyBorder="1" applyAlignment="1">
      <alignment wrapText="1"/>
    </xf>
    <xf numFmtId="0" fontId="0" fillId="9" borderId="9" xfId="0" applyFill="1" applyBorder="1" applyAlignment="1">
      <alignment wrapText="1"/>
    </xf>
    <xf numFmtId="0" fontId="0" fillId="24" borderId="9" xfId="0" applyFill="1" applyBorder="1" applyAlignment="1">
      <alignment wrapText="1"/>
    </xf>
    <xf numFmtId="0" fontId="0" fillId="6" borderId="11" xfId="0" applyFill="1" applyBorder="1" applyAlignment="1">
      <alignment wrapText="1"/>
    </xf>
    <xf numFmtId="0" fontId="0" fillId="8" borderId="11" xfId="0" applyFill="1" applyBorder="1" applyAlignment="1">
      <alignment wrapText="1"/>
    </xf>
    <xf numFmtId="0" fontId="0" fillId="9" borderId="11" xfId="0" applyFill="1" applyBorder="1" applyAlignment="1">
      <alignment wrapText="1"/>
    </xf>
    <xf numFmtId="0" fontId="0" fillId="24" borderId="11" xfId="0" applyFill="1" applyBorder="1" applyAlignment="1">
      <alignment wrapText="1"/>
    </xf>
    <xf numFmtId="0" fontId="9" fillId="2" borderId="20" xfId="0" applyFont="1" applyFill="1" applyBorder="1" applyAlignment="1">
      <alignment horizontal="center" vertical="center" wrapText="1"/>
    </xf>
    <xf numFmtId="0" fontId="0" fillId="33" borderId="23" xfId="0" applyFill="1" applyBorder="1" applyAlignment="1">
      <alignment wrapText="1"/>
    </xf>
    <xf numFmtId="49" fontId="0" fillId="33" borderId="23" xfId="0" applyNumberFormat="1" applyFill="1" applyBorder="1" applyAlignment="1">
      <alignment wrapText="1"/>
    </xf>
    <xf numFmtId="0" fontId="1" fillId="33" borderId="23" xfId="1" applyNumberFormat="1" applyFill="1" applyBorder="1" applyAlignment="1">
      <alignment wrapText="1"/>
    </xf>
    <xf numFmtId="0" fontId="2" fillId="33" borderId="23" xfId="1" applyFont="1" applyFill="1" applyBorder="1" applyAlignment="1">
      <alignment horizontal="left" wrapText="1"/>
    </xf>
    <xf numFmtId="0" fontId="0" fillId="33" borderId="23" xfId="0" applyFill="1" applyBorder="1" applyAlignment="1">
      <alignment horizontal="center" vertical="center" wrapText="1"/>
    </xf>
    <xf numFmtId="0" fontId="0" fillId="33" borderId="22" xfId="0" applyFill="1" applyBorder="1" applyAlignment="1">
      <alignment wrapText="1"/>
    </xf>
    <xf numFmtId="0" fontId="0" fillId="33" borderId="23" xfId="0" applyFill="1" applyBorder="1" applyAlignment="1">
      <alignment horizontal="left" wrapText="1"/>
    </xf>
    <xf numFmtId="0" fontId="2" fillId="33" borderId="22" xfId="1" applyFont="1" applyFill="1" applyBorder="1" applyAlignment="1">
      <alignment wrapText="1"/>
    </xf>
    <xf numFmtId="0" fontId="2" fillId="33" borderId="23" xfId="1" applyFont="1" applyFill="1" applyBorder="1" applyAlignment="1">
      <alignment wrapText="1"/>
    </xf>
    <xf numFmtId="0" fontId="0" fillId="33" borderId="17" xfId="0" applyFill="1" applyBorder="1" applyAlignment="1">
      <alignment wrapText="1"/>
    </xf>
    <xf numFmtId="49" fontId="0" fillId="33" borderId="17" xfId="0" applyNumberFormat="1" applyFill="1" applyBorder="1" applyAlignment="1">
      <alignment wrapText="1"/>
    </xf>
    <xf numFmtId="0" fontId="1" fillId="33" borderId="17" xfId="1" applyNumberFormat="1" applyFill="1" applyBorder="1" applyAlignment="1">
      <alignment wrapText="1"/>
    </xf>
    <xf numFmtId="0" fontId="0" fillId="33" borderId="17" xfId="0" applyFill="1" applyBorder="1" applyAlignment="1">
      <alignment horizontal="center" vertical="center" wrapText="1"/>
    </xf>
    <xf numFmtId="0" fontId="0" fillId="33" borderId="15" xfId="0" applyFill="1" applyBorder="1" applyAlignment="1">
      <alignment wrapText="1"/>
    </xf>
    <xf numFmtId="49" fontId="6" fillId="4" borderId="2" xfId="0" applyNumberFormat="1" applyFont="1" applyFill="1" applyBorder="1" applyAlignment="1">
      <alignment horizontal="center"/>
    </xf>
    <xf numFmtId="49" fontId="6" fillId="4" borderId="3" xfId="0" applyNumberFormat="1" applyFont="1" applyFill="1" applyBorder="1" applyAlignment="1">
      <alignment horizontal="center"/>
    </xf>
    <xf numFmtId="49" fontId="11" fillId="4" borderId="2" xfId="0" applyNumberFormat="1" applyFont="1" applyFill="1" applyBorder="1" applyAlignment="1">
      <alignment horizontal="center"/>
    </xf>
    <xf numFmtId="49" fontId="11" fillId="4" borderId="3" xfId="0" applyNumberFormat="1" applyFont="1" applyFill="1" applyBorder="1" applyAlignment="1">
      <alignment horizontal="center"/>
    </xf>
    <xf numFmtId="49" fontId="4" fillId="7" borderId="0" xfId="0" applyNumberFormat="1" applyFont="1" applyFill="1" applyAlignment="1">
      <alignment horizontal="center"/>
    </xf>
    <xf numFmtId="49" fontId="0" fillId="7" borderId="0" xfId="0" applyNumberFormat="1" applyFill="1" applyAlignment="1">
      <alignment horizontal="center"/>
    </xf>
    <xf numFmtId="0" fontId="9" fillId="2" borderId="27" xfId="0" applyFont="1" applyFill="1" applyBorder="1" applyAlignment="1">
      <alignment horizontal="center" vertical="center" wrapText="1"/>
    </xf>
    <xf numFmtId="49" fontId="9" fillId="2" borderId="27" xfId="0" applyNumberFormat="1" applyFont="1" applyFill="1" applyBorder="1" applyAlignment="1">
      <alignment horizontal="center" vertical="center" wrapText="1"/>
    </xf>
    <xf numFmtId="0" fontId="9" fillId="2" borderId="27" xfId="0" applyFont="1" applyFill="1" applyBorder="1" applyAlignment="1">
      <alignment horizontal="center" wrapText="1"/>
    </xf>
    <xf numFmtId="0" fontId="9" fillId="2" borderId="28" xfId="0" applyFont="1" applyFill="1" applyBorder="1" applyAlignment="1">
      <alignment horizontal="center" vertical="center" wrapText="1"/>
    </xf>
    <xf numFmtId="0" fontId="0" fillId="37" borderId="13" xfId="0" applyFill="1" applyBorder="1" applyAlignment="1">
      <alignment wrapText="1"/>
    </xf>
    <xf numFmtId="49" fontId="0" fillId="37" borderId="13" xfId="0" applyNumberFormat="1" applyFill="1" applyBorder="1" applyAlignment="1">
      <alignment wrapText="1"/>
    </xf>
    <xf numFmtId="0" fontId="1" fillId="37" borderId="13" xfId="1" applyFill="1" applyBorder="1" applyAlignment="1">
      <alignment horizontal="left" wrapText="1"/>
    </xf>
    <xf numFmtId="49" fontId="0" fillId="37" borderId="13" xfId="0" applyNumberFormat="1" applyFill="1" applyBorder="1" applyAlignment="1">
      <alignment horizontal="center" vertical="center" wrapText="1"/>
    </xf>
    <xf numFmtId="49" fontId="8" fillId="37" borderId="13" xfId="0" applyNumberFormat="1" applyFont="1" applyFill="1" applyBorder="1" applyAlignment="1">
      <alignment horizontal="left" wrapText="1"/>
    </xf>
    <xf numFmtId="49" fontId="0" fillId="37" borderId="13" xfId="0" applyNumberFormat="1" applyFill="1" applyBorder="1" applyAlignment="1">
      <alignment horizontal="left" wrapText="1"/>
    </xf>
  </cellXfs>
  <cellStyles count="2">
    <cellStyle name="Hyperlink" xfId="1" builtinId="8"/>
    <cellStyle name="Normal" xfId="0" builtinId="0"/>
  </cellStyles>
  <dxfs count="136">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rgb="FFFFE7FF"/>
        </patternFill>
      </fill>
      <alignment horizontal="general" vertical="bottom" textRotation="0" wrapText="1" indent="0" justifyLastLine="0" shrinkToFit="0" readingOrder="0"/>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FE7FF"/>
        </patternFill>
      </fill>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condense val="0"/>
        <extend val="0"/>
        <outline val="0"/>
        <shadow val="0"/>
        <u val="none"/>
        <vertAlign val="baseline"/>
        <sz val="11"/>
        <color theme="1"/>
        <name val="Calibri"/>
        <family val="2"/>
        <scheme val="minor"/>
      </font>
      <numFmt numFmtId="30" formatCode="@"/>
      <fill>
        <patternFill patternType="solid">
          <fgColor indexed="64"/>
          <bgColor rgb="FFFFE7FF"/>
        </patternFill>
      </fill>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FE7FF"/>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rgb="FFFFE7FF"/>
        </patternFill>
      </fill>
      <alignment horizontal="general"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rgb="FF000000"/>
        </top>
        <bottom style="thin">
          <color auto="1"/>
        </bottom>
      </border>
    </dxf>
    <dxf>
      <alignment horizontal="general" vertical="bottom" textRotation="0" wrapText="1" indent="0" justifyLastLine="0" shrinkToFit="0" readingOrder="0"/>
      <border diagonalUp="0" diagonalDown="0" outline="0">
        <left style="thin">
          <color auto="1"/>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2" tint="-0.249977111117893"/>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condense val="0"/>
        <extend val="0"/>
        <outline val="0"/>
        <shadow val="0"/>
        <u val="none"/>
        <vertAlign val="baseline"/>
        <sz val="11"/>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condense val="0"/>
        <extend val="0"/>
        <outline val="0"/>
        <shadow val="0"/>
        <u val="none"/>
        <vertAlign val="baseline"/>
        <sz val="11"/>
        <color theme="1"/>
        <name val="Calibri"/>
        <family val="2"/>
        <scheme val="minor"/>
      </font>
      <numFmt numFmtId="30" formatCode="@"/>
      <fill>
        <patternFill patternType="solid">
          <fgColor indexed="64"/>
          <bgColor theme="2" tint="-0.249977111117893"/>
        </patternFill>
      </fill>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dxf>
    <dxf>
      <numFmt numFmtId="30" formatCode="@"/>
      <alignment vertical="bottom" textRotation="0" wrapText="1" indent="0" justifyLastLine="0" shrinkToFit="0" readingOrder="0"/>
    </dxf>
    <dxf>
      <numFmt numFmtId="30" formatCode="@"/>
      <alignment horizontal="left" textRotation="0" wrapText="1" indent="0" justifyLastLine="0" shrinkToFit="0" readingOrder="0"/>
    </dxf>
    <dxf>
      <numFmt numFmtId="30" formatCode="@"/>
    </dxf>
    <dxf>
      <font>
        <b val="0"/>
        <i val="0"/>
        <strike/>
        <condense val="0"/>
        <extend val="0"/>
        <outline val="0"/>
        <shadow val="0"/>
        <u val="none"/>
        <vertAlign val="baseline"/>
        <sz val="11"/>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textRotation="0" wrapText="1" indent="0" justifyLastLine="0" shrinkToFit="0" readingOrder="0"/>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auto="1"/>
        </left>
        <right style="thin">
          <color auto="1"/>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alignment horizontal="right" vertical="bottom"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auto="1"/>
        </left>
        <right/>
        <top style="thin">
          <color auto="1"/>
        </top>
        <bottom/>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top style="thin">
          <color auto="1"/>
        </top>
        <bottom/>
        <vertical/>
        <horizontal/>
      </border>
    </dxf>
    <dxf>
      <numFmt numFmtId="30" formatCode="@"/>
    </dxf>
    <dxf>
      <numFmt numFmtId="30" formatCode="@"/>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style="thin">
          <color auto="1"/>
        </right>
        <top style="thin">
          <color auto="1"/>
        </top>
        <bottom/>
        <vertical/>
        <horizontal/>
      </border>
    </dxf>
    <dxf>
      <alignment vertical="bottom" textRotation="0" wrapText="1" indent="0" justifyLastLine="0" shrinkToFit="0" readingOrder="0"/>
    </dxf>
    <dxf>
      <numFmt numFmtId="30" formatCode="@"/>
      <alignment horizontal="left" textRotation="0" wrapText="1" indent="0" justifyLastLine="0" shrinkToFit="0" readingOrder="0"/>
    </dxf>
    <dxf>
      <numFmt numFmtId="30" formatCode="@"/>
    </dxf>
    <dxf>
      <fill>
        <patternFill patternType="solid">
          <fgColor indexed="64"/>
          <bgColor theme="0" tint="-0.14999847407452621"/>
        </patternFill>
      </fill>
      <alignment horizontal="general" vertical="bottom" textRotation="0" wrapText="1" indent="0" justifyLastLine="0" shrinkToFit="0" readingOrder="0"/>
      <border diagonalUp="0" diagonalDown="0">
        <left style="thin">
          <color auto="1"/>
        </left>
        <right style="thin">
          <color auto="1"/>
        </right>
        <top style="thin">
          <color auto="1"/>
        </top>
        <bottom/>
        <vertical/>
        <horizontal/>
      </border>
    </dxf>
    <dxf>
      <alignment textRotation="0" wrapText="1" indent="0" justifyLastLine="0" shrinkToFit="0" readingOrder="0"/>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auto="1"/>
        </left>
        <right style="thin">
          <color auto="1"/>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8"/>
        </patternFill>
      </fill>
      <alignment textRotation="0" wrapText="1" indent="0" justifyLastLine="0" shrinkToFit="0" readingOrder="0"/>
      <border diagonalUp="0" diagonalDown="0" outline="0">
        <left/>
        <right/>
        <top style="thin">
          <color auto="1"/>
        </top>
        <bottom style="thin">
          <color auto="1"/>
        </bottom>
      </border>
    </dxf>
    <dxf>
      <numFmt numFmtId="30" formatCode="@"/>
      <fill>
        <patternFill patternType="solid">
          <fgColor indexed="64"/>
          <bgColor theme="0" tint="-0.14999847407452621"/>
        </patternFill>
      </fill>
      <alignment horizontal="left" vertical="bottom" textRotation="0" wrapText="0" indent="0" justifyLastLine="0" shrinkToFit="0" readingOrder="0"/>
      <border diagonalUp="0" diagonalDown="0" outline="0">
        <left style="thin">
          <color auto="1"/>
        </left>
        <right/>
        <top style="thin">
          <color auto="1"/>
        </top>
        <bottom style="thin">
          <color auto="1"/>
        </bottom>
      </border>
    </dxf>
    <dxf>
      <font>
        <b val="0"/>
        <i val="0"/>
        <strike/>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8"/>
        </patternFill>
      </fill>
      <border diagonalUp="0" diagonalDown="0">
        <left style="thin">
          <color auto="1"/>
        </left>
        <right/>
        <top style="thin">
          <color auto="1"/>
        </top>
        <bottom style="thin">
          <color auto="1"/>
        </bottom>
        <vertical/>
        <horizontal/>
      </border>
    </dxf>
    <dxf>
      <fill>
        <patternFill patternType="solid">
          <fgColor indexed="64"/>
          <bgColor theme="8"/>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solid">
          <fgColor indexed="64"/>
          <bgColor theme="0" tint="-0.14999847407452621"/>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8"/>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8"/>
        </patternFill>
      </fill>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dxf>
    <dxf>
      <numFmt numFmtId="30" formatCode="@"/>
      <fill>
        <patternFill patternType="solid">
          <fgColor indexed="64"/>
          <bgColor theme="8"/>
        </patternFill>
      </fill>
      <alignment horizontal="left" vertical="bottom" textRotation="0" indent="0" justifyLastLine="0" shrinkToFit="0" readingOrder="0"/>
      <border diagonalUp="0" diagonalDown="0" outline="0">
        <left style="thin">
          <color auto="1"/>
        </left>
        <right style="thin">
          <color auto="1"/>
        </right>
        <top style="thin">
          <color auto="1"/>
        </top>
        <bottom style="thin">
          <color auto="1"/>
        </bottom>
      </border>
    </dxf>
    <dxf>
      <numFmt numFmtId="30" formatCode="@"/>
      <fill>
        <patternFill patternType="solid">
          <fgColor indexed="64"/>
          <bgColor theme="8"/>
        </patternFill>
      </fill>
      <alignment horizontal="left" vertical="bottom" textRotation="0" indent="0" justifyLastLine="0" shrinkToFit="0" readingOrder="0"/>
      <border diagonalUp="0" diagonalDown="0" outline="0">
        <left style="thin">
          <color auto="1"/>
        </left>
        <right style="thin">
          <color auto="1"/>
        </right>
        <top style="thin">
          <color auto="1"/>
        </top>
        <bottom style="thin">
          <color auto="1"/>
        </bottom>
      </border>
    </dxf>
    <dxf>
      <numFmt numFmtId="30" formatCode="@"/>
      <fill>
        <patternFill patternType="solid">
          <fgColor indexed="64"/>
          <bgColor theme="8"/>
        </patternFill>
      </fill>
      <border diagonalUp="0" diagonalDown="0" outline="0">
        <left style="thin">
          <color auto="1"/>
        </left>
        <right style="thin">
          <color auto="1"/>
        </right>
        <top style="thin">
          <color auto="1"/>
        </top>
        <bottom style="thin">
          <color auto="1"/>
        </bottom>
      </border>
    </dxf>
    <dxf>
      <font>
        <b val="0"/>
        <i val="0"/>
        <strike/>
        <condense val="0"/>
        <extend val="0"/>
        <outline val="0"/>
        <shadow val="0"/>
        <u val="none"/>
        <vertAlign val="baseline"/>
        <sz val="11"/>
        <color theme="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8"/>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8"/>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8"/>
        </patternFill>
      </fill>
      <border diagonalUp="0" diagonalDown="0">
        <left/>
        <right style="thin">
          <color auto="1"/>
        </right>
        <top style="thin">
          <color auto="1"/>
        </top>
        <bottom style="thin">
          <color auto="1"/>
        </bottom>
        <vertical/>
        <horizontal/>
      </border>
    </dxf>
    <dxf>
      <border outline="0">
        <top style="thin">
          <color auto="1"/>
        </top>
      </border>
    </dxf>
    <dxf>
      <border outline="0">
        <right style="thin">
          <color auto="1"/>
        </right>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30" formatCode="@"/>
      <fill>
        <patternFill patternType="solid">
          <fgColor indexed="64"/>
          <bgColor theme="0" tint="-0.249977111117893"/>
        </patternFill>
      </fill>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solid">
          <fgColor indexed="64"/>
          <bgColor theme="0" tint="-0.24997711111789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30" formatCode="@"/>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30" formatCode="@"/>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tint="-0.249977111117893"/>
        </patternFill>
      </fill>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solid">
          <fgColor indexed="64"/>
          <bgColor theme="0" tint="-0.249977111117893"/>
        </patternFill>
      </fill>
      <alignment horizontal="general" vertical="bottom"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numFmt numFmtId="30" formatCode="@"/>
      <alignment horizontal="general" vertical="bottom" textRotation="0" wrapText="1" indent="0" justifyLastLine="0" shrinkToFit="0" readingOrder="0"/>
    </dxf>
    <dxf>
      <numFmt numFmtId="30" formatCode="@"/>
    </dxf>
    <dxf>
      <numFmt numFmtId="30" formatCode="@"/>
    </dxf>
    <dxf>
      <numFmt numFmtId="30" formatCode="@"/>
    </dxf>
    <dxf>
      <numFmt numFmtId="30" formatCode="@"/>
      <alignment horizontal="general" vertical="center" textRotation="0" wrapText="1" indent="0" justifyLastLine="0" shrinkToFit="0" readingOrder="0"/>
      <border diagonalUp="0" diagonalDown="0">
        <left style="thin">
          <color auto="1"/>
        </left>
        <right/>
        <top style="thin">
          <color auto="1"/>
        </top>
        <bottom style="thin">
          <color auto="1"/>
        </bottom>
      </border>
    </dxf>
    <dxf>
      <numFmt numFmtId="30" formatCode="@"/>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30" formatCode="@"/>
      <fill>
        <patternFill patternType="solid">
          <fgColor indexed="64"/>
          <bgColor theme="9" tint="0.79998168889431442"/>
        </patternFill>
      </fill>
      <alignment horizontal="general" vertical="center"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numFmt numFmtId="30" formatCode="@"/>
    </dxf>
    <dxf>
      <numFmt numFmtId="30" formatCode="@"/>
    </dxf>
    <dxf>
      <font>
        <strike val="0"/>
        <outline val="0"/>
        <shadow val="0"/>
        <u val="none"/>
        <vertAlign val="baseline"/>
        <sz val="18"/>
        <name val="Calibri"/>
        <family val="2"/>
        <scheme val="minor"/>
      </font>
      <numFmt numFmtId="30" formatCode="@"/>
      <alignment horizontal="left" vertical="center" textRotation="0" wrapText="1" indent="0" justifyLastLine="0" shrinkToFit="0" readingOrder="0"/>
    </dxf>
    <dxf>
      <font>
        <strike val="0"/>
        <outline val="0"/>
        <shadow val="0"/>
        <u val="none"/>
        <vertAlign val="baseline"/>
        <sz val="18"/>
        <name val="Calibri"/>
        <family val="2"/>
        <scheme val="minor"/>
      </font>
      <numFmt numFmtId="30" formatCode="@"/>
      <alignment horizontal="left" vertical="center" textRotation="0" indent="0" justifyLastLine="0" shrinkToFit="0" readingOrder="0"/>
    </dxf>
    <dxf>
      <border outline="0">
        <top style="thin">
          <color theme="5" tint="0.39997558519241921"/>
        </top>
      </border>
    </dxf>
    <dxf>
      <font>
        <strike val="0"/>
        <outline val="0"/>
        <shadow val="0"/>
        <u val="none"/>
        <vertAlign val="baseline"/>
        <sz val="18"/>
        <name val="Calibri"/>
        <family val="2"/>
        <scheme val="minor"/>
      </font>
      <numFmt numFmtId="30" formatCode="@"/>
      <alignment horizontal="left" vertical="center" textRotation="0" indent="0" justifyLastLine="0" shrinkToFit="0" readingOrder="0"/>
    </dxf>
    <dxf>
      <border outline="0">
        <bottom style="thin">
          <color theme="5" tint="0.39997558519241921"/>
        </bottom>
      </border>
    </dxf>
    <dxf>
      <font>
        <strike val="0"/>
        <outline val="0"/>
        <shadow val="0"/>
        <u val="none"/>
        <vertAlign val="baseline"/>
        <sz val="18"/>
        <name val="Calibri"/>
        <family val="2"/>
        <scheme val="minor"/>
      </font>
      <numFmt numFmtId="30" formatCode="@"/>
    </dxf>
  </dxfs>
  <tableStyles count="0" defaultTableStyle="TableStyleMedium2" defaultPivotStyle="PivotStyleLight16"/>
  <colors>
    <mruColors>
      <color rgb="FF26E500"/>
      <color rgb="FF96FF82"/>
      <color rgb="FF70FF54"/>
      <color rgb="FF7ABAFF"/>
      <color rgb="FF9ECCFF"/>
      <color rgb="FF60ADFF"/>
      <color rgb="FFC4E0FF"/>
      <color rgb="FFD9D9D9"/>
      <color rgb="FF32FFB4"/>
      <color rgb="FFADFF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1743810</xdr:colOff>
      <xdr:row>0</xdr:row>
      <xdr:rowOff>0</xdr:rowOff>
    </xdr:from>
    <xdr:to>
      <xdr:col>2</xdr:col>
      <xdr:colOff>2913919</xdr:colOff>
      <xdr:row>1</xdr:row>
      <xdr:rowOff>2495290</xdr:rowOff>
    </xdr:to>
    <xdr:pic>
      <xdr:nvPicPr>
        <xdr:cNvPr id="3" name="Grafik 2">
          <a:extLst>
            <a:ext uri="{FF2B5EF4-FFF2-40B4-BE49-F238E27FC236}">
              <a16:creationId xmlns:a16="http://schemas.microsoft.com/office/drawing/2014/main" id="{F39D511B-1547-7E69-35BB-7C25A6E5F48F}"/>
            </a:ext>
          </a:extLst>
        </xdr:cNvPr>
        <xdr:cNvPicPr>
          <a:picLocks noChangeAspect="1"/>
        </xdr:cNvPicPr>
      </xdr:nvPicPr>
      <xdr:blipFill>
        <a:blip xmlns:r="http://schemas.openxmlformats.org/officeDocument/2006/relationships" r:embed="rId1"/>
        <a:stretch>
          <a:fillRect/>
        </a:stretch>
      </xdr:blipFill>
      <xdr:spPr>
        <a:xfrm>
          <a:off x="3223848" y="0"/>
          <a:ext cx="5876192" cy="2689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eviewer 1" id="{499600EE-6151-4467-A996-F0CDCF878DCE}" providerId="None"/>
  <person displayName="Hutomo Saleh" id="{83A7B59B-F170-4A61-B7A7-FAE8F7A9C5A1}" providerId="None"/>
  <person displayName="Reviewer 2" id="{1812CDE6-FC44-4115-8725-B11009A6CF17}"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4FB320-0019-488D-9587-D7A4F3CC6C06}" name="Tabelle4" displayName="Tabelle4" ref="B5:C10" totalsRowShown="0" headerRowDxfId="135" dataDxfId="133" headerRowBorderDxfId="134" tableBorderDxfId="132">
  <autoFilter ref="B5:C10" xr:uid="{BB4FB320-0019-488D-9587-D7A4F3CC6C06}"/>
  <tableColumns count="2">
    <tableColumn id="1" xr3:uid="{C92639FF-21E6-4400-AA45-73F459541F3D}" name="What" dataDxfId="131"/>
    <tableColumn id="2" xr3:uid="{3D7ACF28-AD64-4DCC-BAF8-B238037D7808}" name="Explanation" dataDxfId="13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4FFB19-54A4-4915-B514-31C4DF9E383D}" name="Tabelle8" displayName="Tabelle8" ref="E5:G15" totalsRowShown="0" headerRowDxfId="129" dataDxfId="128">
  <autoFilter ref="E5:G15" xr:uid="{514FFB19-54A4-4915-B514-31C4DF9E383D}"/>
  <tableColumns count="3">
    <tableColumn id="1" xr3:uid="{F2EA3A89-22F2-4FFD-B38D-E85CD82489DE}" name="Number" dataDxfId="127"/>
    <tableColumn id="2" xr3:uid="{3B07483E-6F59-4C52-BC09-A107D653FDCE}" name="Name" dataDxfId="126"/>
    <tableColumn id="3" xr3:uid="{B11F1018-C7B9-4BE8-BEB9-7370A51627F6}" name="Description" dataDxfId="125"/>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62DB07-2CF1-4FCC-9A3F-009DFF952262}" name="Tabelle1" displayName="Tabelle1" ref="I5:J15" totalsRowShown="0" headerRowDxfId="124" dataDxfId="123">
  <autoFilter ref="I5:J15" xr:uid="{B562DB07-2CF1-4FCC-9A3F-009DFF952262}"/>
  <tableColumns count="2">
    <tableColumn id="1" xr3:uid="{93146A60-B132-43E3-97D8-74E14E2B161E}" name="Term" dataDxfId="122"/>
    <tableColumn id="2" xr3:uid="{62C7CE85-88AC-46A5-B5F2-64E8B9D1FB2F}" name="Explanation" dataDxfId="121"/>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8F13F6-B9F4-474E-8233-1250812542C5}" name="Tabelle10" displayName="Tabelle10" ref="A1:V65" totalsRowShown="0" headerRowDxfId="120" dataDxfId="118" headerRowBorderDxfId="119" tableBorderDxfId="117" totalsRowBorderDxfId="116">
  <autoFilter ref="A1:V65" xr:uid="{C78F13F6-B9F4-474E-8233-1250812542C5}"/>
  <tableColumns count="22">
    <tableColumn id="1" xr3:uid="{C095FF23-5B50-4F73-B125-20C079FA3D7A}" name="#" dataDxfId="115"/>
    <tableColumn id="2" xr3:uid="{6403FD17-7FB3-4128-B3EF-07E95F3794AE}" name="Indicator Name" dataDxfId="114"/>
    <tableColumn id="3" xr3:uid="{E98E5CEE-3E1D-485A-862A-BC685123F8C8}" name="Description" dataDxfId="113"/>
    <tableColumn id="14" xr3:uid="{2F76C59A-0891-4EFA-882D-FE8B04FA1DEF}" name="Objective / Goal"/>
    <tableColumn id="4" xr3:uid="{11F6A6AE-B46C-48A8-80AC-BB395402580B}" name="Underlying Metrics" dataDxfId="112"/>
    <tableColumn id="5" xr3:uid="{71D400C1-8F04-4992-9E15-56828C6947AF}" name="Parent Metrics" dataDxfId="111"/>
    <tableColumn id="6" xr3:uid="{29D527A9-115D-4FDC-B839-97A3A74FADAD}" name="Potential Reference Values" dataDxfId="110"/>
    <tableColumn id="7" xr3:uid="{2DD5DA1B-7A22-4E30-876A-267AED41B3CB}" name="Unit" dataDxfId="109"/>
    <tableColumn id="8" xr3:uid="{F8154EED-41A9-42F8-883A-C65185B2E8F2}" name="Formula" dataDxfId="108"/>
    <tableColumn id="12" xr3:uid="{615F0330-9325-4B70-BA60-C6A9DA76B2E3}" name="Reference" dataDxfId="107"/>
    <tableColumn id="10" xr3:uid="{A149A001-DAD0-4FE3-BF33-ECC4CFFF69D9}" name="Level" dataDxfId="106"/>
    <tableColumn id="11" xr3:uid="{6E961004-E3B4-42A9-951D-6C12F26EDD23}" name="Data?" dataDxfId="105"/>
    <tableColumn id="9" xr3:uid="{F6DAA9D7-8A91-4051-9F57-3D1BB7C6C576}" name="Data Source"/>
    <tableColumn id="15" xr3:uid="{720B893D-435B-4535-B675-F5A84C4638AC}" name="Product Life Cycle Stages" dataDxfId="104"/>
    <tableColumn id="17" xr3:uid="{3F007F8F-9AB0-4717-99C8-1E0D1AD07FB0}" name="Calculation Strategy" dataDxfId="103"/>
    <tableColumn id="18" xr3:uid="{1FE60A9E-589D-44F9-9E19-44746B66D3E5}" name="Example Value" dataDxfId="102"/>
    <tableColumn id="16" xr3:uid="{DB800919-B8D3-4AD7-84EB-A3C9A8DED6E2}" name="Weight" dataDxfId="101"/>
    <tableColumn id="13" xr3:uid="{E6A19275-E05F-40FE-95F0-F2AA377A2103}" name="Comment" dataDxfId="100"/>
    <tableColumn id="19" xr3:uid="{305C7E32-7D77-4636-9FF5-54A7287C61ED}" name="Target Min" dataDxfId="99"/>
    <tableColumn id="20" xr3:uid="{8ED5F12A-8E6D-4EA3-8AE9-B1D395FC371C}" name="Target Max" dataDxfId="98"/>
    <tableColumn id="21" xr3:uid="{BA48473F-AE6A-4BAB-8754-2FF53C480324}" name="Value" dataDxfId="97"/>
    <tableColumn id="22" xr3:uid="{0AC385DC-8D7A-4307-8AA2-9F9D9C5F9057}" name="Reference Value" dataDxfId="96"/>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5B75B11-DA22-46A2-8A1A-8DE6BF25B51A}" name="Tabelle11" displayName="Tabelle11" ref="A1:V68" totalsRowShown="0" headerRowDxfId="95" headerRowBorderDxfId="94" tableBorderDxfId="93" totalsRowBorderDxfId="92">
  <autoFilter ref="A1:V68" xr:uid="{05B75B11-DA22-46A2-8A1A-8DE6BF25B51A}"/>
  <tableColumns count="22">
    <tableColumn id="1" xr3:uid="{8F51AC70-1FBC-4F37-ABC4-44C2441BC44B}" name="#" dataDxfId="91"/>
    <tableColumn id="2" xr3:uid="{B6449EBE-A48C-4897-910B-4344E3D35032}" name="Indicator Name" dataDxfId="90"/>
    <tableColumn id="3" xr3:uid="{FC5C2877-F64F-4F33-8A78-902F5BB9FF21}" name="Description" dataDxfId="89"/>
    <tableColumn id="14" xr3:uid="{DC3A0861-25A8-4501-B31A-603804F0EA75}" name="Objective / Goal" dataDxfId="88"/>
    <tableColumn id="4" xr3:uid="{C1C4CE62-1FBB-4F54-82C3-D989A06BD289}" name="Underlying Metrics" dataDxfId="87"/>
    <tableColumn id="5" xr3:uid="{D2B80BF8-BDEA-4941-BB96-6FBBD0A6A747}" name="Parent Metrics" dataDxfId="86"/>
    <tableColumn id="6" xr3:uid="{F213C390-4701-4C87-8800-728EC8D479C1}" name="Potential Reference Values" dataDxfId="85"/>
    <tableColumn id="7" xr3:uid="{F01E8FDB-024D-47ED-859A-239993F70705}" name="Unit" dataDxfId="84"/>
    <tableColumn id="8" xr3:uid="{A6F7C13A-9CA3-480C-92FD-57C41A4A5E47}" name="Formula" dataDxfId="83"/>
    <tableColumn id="13" xr3:uid="{81071EF2-043E-42B6-BDA2-F11B13ED5E3E}" name="Reference" dataDxfId="82"/>
    <tableColumn id="10" xr3:uid="{975C5F06-6C59-4975-8B79-18AC67F925F6}" name="Level" dataDxfId="81"/>
    <tableColumn id="11" xr3:uid="{6007BF79-C344-415A-8F95-75C5445DB9B8}" name="Data?" dataDxfId="80"/>
    <tableColumn id="9" xr3:uid="{659A2E10-F8C5-496B-A76D-F06A3FE49DB9}" name="Data Source" dataDxfId="79"/>
    <tableColumn id="15" xr3:uid="{FCC5619F-7D25-458F-91F6-4C8769136CA5}" name="Product Life Cycle Stages" dataDxfId="78"/>
    <tableColumn id="17" xr3:uid="{450CAF37-0CC1-483B-8593-B3DF90ED1CD4}" name="Calculation Strategy"/>
    <tableColumn id="18" xr3:uid="{29D75D00-1E4B-4F05-8BA5-AC1231F059A3}" name="Example Value"/>
    <tableColumn id="16" xr3:uid="{B912BF17-2950-45C0-A83E-6D55CF771F7E}" name="Weight"/>
    <tableColumn id="12" xr3:uid="{4CDD1000-5C21-4629-A707-E2EDC30D37BD}" name="Comment" dataDxfId="77"/>
    <tableColumn id="19" xr3:uid="{83E19124-222F-4FAA-9A40-A40C59CDE68A}" name="Target Min" dataDxfId="76"/>
    <tableColumn id="20" xr3:uid="{57CF23E0-AE27-43CD-A896-46B0F99F9D01}" name="Target Max" dataDxfId="75"/>
    <tableColumn id="21" xr3:uid="{BBD734EC-4633-4ABE-989E-52B24C105A96}" name="Value" dataDxfId="74"/>
    <tableColumn id="22" xr3:uid="{1F5158B8-2092-4A3E-8F06-9DD54AA66BB4}" name="Reference Value" dataDxfId="73"/>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3DC0C6-78B3-456C-8E3C-890CF4EB8CDD}" name="Tabelle12" displayName="Tabelle12" ref="A1:V60" totalsRowShown="0" headerRowDxfId="72" headerRowBorderDxfId="71" tableBorderDxfId="70" totalsRowBorderDxfId="69">
  <autoFilter ref="A1:V60" xr:uid="{733DC0C6-78B3-456C-8E3C-890CF4EB8CDD}"/>
  <tableColumns count="22">
    <tableColumn id="1" xr3:uid="{1DD54AB6-5C60-404F-B5C2-4B9812103FFD}" name="#"/>
    <tableColumn id="2" xr3:uid="{D01ACB2B-94C0-4FB9-8230-9982A9B331EA}" name="Indicator Name"/>
    <tableColumn id="4" xr3:uid="{53A37850-522C-44FC-B7E6-03A64DF17A2F}" name="Description" dataDxfId="68"/>
    <tableColumn id="10" xr3:uid="{273BDA9C-5366-4BC2-A3BA-7A1CB287F88E}" name="Objective / Goal" dataDxfId="67"/>
    <tableColumn id="5" xr3:uid="{F01676AA-606F-4479-BB81-55926A75C84C}" name="Underlying Metrics" dataDxfId="66"/>
    <tableColumn id="6" xr3:uid="{1143E1B5-EDF3-4A18-B2B0-6B457DA80B75}" name="Parent Metrics" dataDxfId="65"/>
    <tableColumn id="7" xr3:uid="{55EE4600-C126-4AC8-AF47-EAF38CAEFD49}" name="Potential Reference Values" dataDxfId="64"/>
    <tableColumn id="8" xr3:uid="{9ADD3A39-2E88-4CD0-90F2-58268F3A7D7D}" name="Unit"/>
    <tableColumn id="9" xr3:uid="{20EACF34-444D-4B6A-B6DF-021886D9538A}" name="Formula"/>
    <tableColumn id="13" xr3:uid="{57FA7947-30BE-43FA-85B1-44A95247ABF0}" name="Reference" dataDxfId="63"/>
    <tableColumn id="11" xr3:uid="{CB8CD796-9F51-4D88-B2DE-A9661685EAD0}" name="Level" dataDxfId="62"/>
    <tableColumn id="12" xr3:uid="{602BA151-C84B-412E-A23E-EC564FE36F77}" name="Data?"/>
    <tableColumn id="3" xr3:uid="{6814AF35-A017-48AF-9F53-EA13AF5A1CBB}" name="Data Source" dataDxfId="61"/>
    <tableColumn id="15" xr3:uid="{8F5463DD-80DE-406C-AA6A-16162D2709BD}" name="Product Life Cycle Stages" dataDxfId="60"/>
    <tableColumn id="17" xr3:uid="{BEB308C2-4570-4A12-83A3-F1D057EB5C0E}" name="Calculation Strategy" dataDxfId="59"/>
    <tableColumn id="19" xr3:uid="{73E3DED2-8488-498E-BD09-C6A5A8640D49}" name="Example Values" dataDxfId="58"/>
    <tableColumn id="16" xr3:uid="{B76A8FE1-25B2-49F4-B126-4DF4AA2366C8}" name="Weight" dataDxfId="57"/>
    <tableColumn id="14" xr3:uid="{416C0BC8-73CA-4D30-830D-916BF6C11588}" name="Comment"/>
    <tableColumn id="18" xr3:uid="{B3FB2A4F-7F7C-4246-B442-8BB44AB6593E}" name="Target Min" dataDxfId="56"/>
    <tableColumn id="20" xr3:uid="{1F82CE7E-1B5E-4669-8086-C6870A6060DA}" name="Target Max" dataDxfId="55"/>
    <tableColumn id="21" xr3:uid="{03D1417B-2709-463F-81FB-7807A560EF1A}" name="Value" dataDxfId="54"/>
    <tableColumn id="22" xr3:uid="{0F28C005-5B2E-47EE-B871-C3DA4FFA69FA}" name="Reference Value" dataDxfId="53"/>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DD466F-F7B0-46FB-8584-E07B9BCEC560}" name="Table6" displayName="Table6" ref="S1:V46" totalsRowShown="0" headerRowDxfId="52" tableBorderDxfId="51">
  <autoFilter ref="S1:V46" xr:uid="{A0DD466F-F7B0-46FB-8584-E07B9BCEC560}"/>
  <tableColumns count="4">
    <tableColumn id="1" xr3:uid="{4FFBCC8E-AB50-4E5C-97E9-5EEE7DF07DB4}" name="Target Min" dataDxfId="50"/>
    <tableColumn id="2" xr3:uid="{82CE2200-C09E-4A7A-964B-A528A7E2F73F}" name="Target Max" dataDxfId="49"/>
    <tableColumn id="3" xr3:uid="{2916DC54-5067-4692-BF4E-1D9F3B5FA7FF}" name="Value" dataDxfId="48"/>
    <tableColumn id="4" xr3:uid="{ECA9FD8D-62C2-48E1-8F59-2FF2A342C40E}" name="Reference Value" dataDxfId="4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FC31B9-6415-4A88-970B-D937265E0F3B}" name="Tabelle9" displayName="Tabelle9" ref="A1:V32" totalsRowShown="0" headerRowDxfId="46" headerRowBorderDxfId="45" tableBorderDxfId="44" totalsRowBorderDxfId="43">
  <autoFilter ref="A1:V32" xr:uid="{4BFC31B9-6415-4A88-970B-D937265E0F3B}"/>
  <tableColumns count="22">
    <tableColumn id="1" xr3:uid="{AC62D69E-5E28-4A57-B568-713989C904DC}" name="#"/>
    <tableColumn id="2" xr3:uid="{CF6F60AB-8797-40C0-8185-824F7BC88D3C}" name="Indicator Name"/>
    <tableColumn id="3" xr3:uid="{890A1337-E2E2-4673-8B2C-5FAC29E2F2DA}" name="Description" dataDxfId="42"/>
    <tableColumn id="14" xr3:uid="{C12FAC0F-0D3F-449E-AAF5-E43B33647EEE}" name="Objective / Goal" dataDxfId="41"/>
    <tableColumn id="4" xr3:uid="{87969575-23E1-464F-BFCB-6B63367AA20E}" name="Underlying Metrics" dataDxfId="40"/>
    <tableColumn id="5" xr3:uid="{6DC2056F-E8E3-4116-A6DA-C5212ADCF86E}" name="Parent Metrics" dataDxfId="39"/>
    <tableColumn id="6" xr3:uid="{534A6E0C-7804-4EBC-A0FC-386F82505A0A}" name="Potential Reference Values" dataDxfId="38"/>
    <tableColumn id="7" xr3:uid="{2B8822F1-A420-47F6-A25A-FE9ECAB9E8D9}" name="Unit" dataDxfId="37"/>
    <tableColumn id="8" xr3:uid="{A2106876-7B2E-4E4B-9ADB-D9102F7883F3}" name="Formula"/>
    <tableColumn id="12" xr3:uid="{F0037339-F589-46F9-8D25-5E72AA6BA41B}" name="Reference" dataDxfId="36"/>
    <tableColumn id="9" xr3:uid="{8525AD02-7EE6-4D7A-97BE-5D9771C34820}" name="Level"/>
    <tableColumn id="10" xr3:uid="{F5D1EC7E-4127-435C-BF7D-FCF2BB37D82B}" name="Data?"/>
    <tableColumn id="13" xr3:uid="{2C680BA7-68B5-4084-BE96-AFDC88C9E489}" name="Data Source" dataDxfId="35"/>
    <tableColumn id="15" xr3:uid="{6EA424EE-1076-4C85-B923-E00A8801DABE}" name="Product Life Cycle Stages" dataDxfId="34"/>
    <tableColumn id="17" xr3:uid="{67A0AA58-C1D3-4776-9FEF-476028C6DF39}" name="Calculation Strategy" dataDxfId="33"/>
    <tableColumn id="18" xr3:uid="{ECFBCC9E-492C-4805-96ED-AF258FF0F529}" name="Example Value" dataDxfId="32"/>
    <tableColumn id="16" xr3:uid="{3A95A00D-E29D-4BEF-B0DF-D0F46543AEF6}" name="Weight" dataDxfId="31"/>
    <tableColumn id="11" xr3:uid="{4E6798EE-7D49-431E-B600-03A958DFA137}" name="Comment"/>
    <tableColumn id="19" xr3:uid="{67116214-8116-4312-8E50-CFD73A3F73DF}" name="Target Min" dataDxfId="30"/>
    <tableColumn id="20" xr3:uid="{B9A27102-92C0-4873-A20E-BC84D6821A2F}" name="Target Max" dataDxfId="29"/>
    <tableColumn id="21" xr3:uid="{E92D02D7-413E-4CDA-93DC-A663EEC71B16}" name="Value" dataDxfId="28"/>
    <tableColumn id="22" xr3:uid="{35AE9511-CAFE-45F9-B5E4-B911BAD1D4CA}" name="Reference Value" dataDxfId="27"/>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613541-6800-47F4-AF16-35F2B586D846}" name="Table3" displayName="Table3" ref="A1:R146" totalsRowShown="0" headerRowDxfId="0" dataDxfId="1" tableBorderDxfId="20">
  <autoFilter ref="A1:R146" xr:uid="{98613541-6800-47F4-AF16-35F2B586D846}"/>
  <tableColumns count="18">
    <tableColumn id="1" xr3:uid="{368EA4C6-96D6-4CB3-8861-9668F19F6B55}" name="#" dataDxfId="19"/>
    <tableColumn id="2" xr3:uid="{0966E0E3-8238-4845-879D-4B61514E3A2D}" name="Indicator Name" dataDxfId="18"/>
    <tableColumn id="3" xr3:uid="{1B7B2769-2BC7-4CAC-9D33-981D00E59893}" name="Description" dataDxfId="17"/>
    <tableColumn id="4" xr3:uid="{F785F319-A929-4F0C-9DA8-A4199EE3BCC1}" name="Objective / Goal" dataDxfId="16"/>
    <tableColumn id="5" xr3:uid="{3E4EB5CD-35B3-4BB0-8DD3-7856D1DCE904}" name="Underlying Metrics" dataDxfId="15"/>
    <tableColumn id="6" xr3:uid="{27552C98-D0DA-40E9-9957-474AD9F548DA}" name="Parent Metrics" dataDxfId="14" dataCellStyle="Hyperlink"/>
    <tableColumn id="7" xr3:uid="{3302E331-D56F-499B-99D5-5491E48662A1}" name="Potential Reference Values" dataDxfId="13"/>
    <tableColumn id="8" xr3:uid="{6695338F-8C02-4924-A6E7-D9AA8AF56B4C}" name="Unit" dataDxfId="12"/>
    <tableColumn id="9" xr3:uid="{A626EBDD-3F57-41A4-B0E3-30C0703BA7ED}" name="Formula" dataDxfId="11"/>
    <tableColumn id="10" xr3:uid="{50233FC0-D884-4342-8CB8-AFAA71413594}" name="Reference" dataDxfId="10"/>
    <tableColumn id="11" xr3:uid="{76C36FA8-15D6-4B49-A32F-F73BCA9A50FB}" name="Level" dataDxfId="9"/>
    <tableColumn id="12" xr3:uid="{F2DDD68E-FF0B-46D3-BEE2-2E627A728BEC}" name="Data?" dataDxfId="8"/>
    <tableColumn id="13" xr3:uid="{30372A88-70B4-4BC0-A93A-25E3BC67DDA1}" name="Data Source" dataDxfId="7"/>
    <tableColumn id="14" xr3:uid="{29B0FF41-0048-4049-8BC9-89E03AD1A153}" name="Product Life Cycle Stages" dataDxfId="6"/>
    <tableColumn id="15" xr3:uid="{E9EE34B9-DF34-41C7-87BD-E9AB78B8A518}" name="Calculation Strategy" dataDxfId="5"/>
    <tableColumn id="16" xr3:uid="{03819F97-7A82-41F2-A511-5D0B0C8A7DBB}" name="Example Value" dataDxfId="4"/>
    <tableColumn id="17" xr3:uid="{9FE7F8AD-7847-4886-8C63-88F255D0F23F}" name="Weight" dataDxfId="3"/>
    <tableColumn id="18" xr3:uid="{71139423-AEC2-4E22-B5DB-A7E2F00DEF9F}" name="Comment" dataDxfId="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5EC8172-C599-4C8F-AE4F-CA9324B15909}" name="Tabelle13" displayName="Tabelle13" ref="A1:F105" totalsRowShown="0">
  <autoFilter ref="A1:F105" xr:uid="{E5EC8172-C599-4C8F-AE4F-CA9324B15909}"/>
  <tableColumns count="6">
    <tableColumn id="2" xr3:uid="{78CF099C-1A19-4F8C-A9A1-74FB814609EF}" name="Title" dataDxfId="26"/>
    <tableColumn id="3" xr3:uid="{2731D1B1-EF47-47FD-B7C3-955FBE7C0E7A}" name="Description" dataDxfId="25"/>
    <tableColumn id="5" xr3:uid="{8487B1B5-7EB3-45D5-9E2E-DA5DAE120A58}" name="Label" dataDxfId="24"/>
    <tableColumn id="7" xr3:uid="{E62B8352-2E5E-41A0-87BE-ECAC2707A782}" name="Type" dataDxfId="23"/>
    <tableColumn id="6" xr3:uid="{CD6C67CC-F021-4432-8F04-97D049F7DC99}" name="Link" dataDxfId="22"/>
    <tableColumn id="4" xr3:uid="{1001A150-A59E-46A6-B48F-48E7D8574254}" name="Comment" dataDxfId="2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5-05-20T09:22:26.02" personId="{1812CDE6-FC44-4115-8725-B11009A6CF17}" id="{C5511CA9-58C7-4605-9BB3-9BEA8B419DDC}">
    <text>Higher level KPIs using this KPI as data source</text>
  </threadedComment>
  <threadedComment ref="K1" dT="2025-05-06T09:07:50.08" personId="{83A7B59B-F170-4A61-B7A7-FAE8F7A9C5A1}" id="{BD693F1B-01E9-4C4C-9011-25EAAC4D6393}">
    <text>Represents the hierarchy level of the KPI in the system. 0 being the highest level indicator.</text>
  </threadedComment>
  <threadedComment ref="K1" dT="2025-05-08T12:11:47.94" personId="{499600EE-6151-4467-A996-F0CDCF878DCE}" id="{131E788D-B644-41EC-A1BB-863D24050313}" parentId="{BD693F1B-01E9-4C4C-9011-25EAAC4D6393}">
    <text>Wird irgendwo deutlich welche Tier 2 in welche Tier 1 KPI einfließen?</text>
  </threadedComment>
  <threadedComment ref="O1" dT="2026-02-03T08:39:31.85" personId="{83A7B59B-F170-4A61-B7A7-FAE8F7A9C5A1}" id="{D522731A-081F-4B21-8187-5DB02169B021}">
    <text>This is the ID for automating the calculation.</text>
  </threadedComment>
  <threadedComment ref="C36" dT="2025-06-17T14:23:40.43" personId="{1812CDE6-FC44-4115-8725-B11009A6CF17}" id="{8BEF53BB-CA65-4CEB-8A25-2357D244AB9C}">
    <text xml:space="preserve">Die Gehälter und Löhne der Mitarbeiter, die direkt an der Produktion beteiligt sind </text>
  </threadedComment>
  <threadedComment ref="C37" dT="2025-06-17T14:23:50.78" personId="{1812CDE6-FC44-4115-8725-B11009A6CF17}" id="{326222E1-34BF-4AF1-8734-24B0260EB0E3}">
    <text xml:space="preserve">Kosten, die indirekt mit der Produktion zusammenhängen, wie z.B. Miete, Strom, Abschreibung von Produktionsanlagen, Wartung und Betriebsmittel </text>
  </threadedComment>
  <threadedComment ref="C38" dT="2025-06-17T14:24:02.59" personId="{1812CDE6-FC44-4115-8725-B11009A6CF17}" id="{3882223C-4C38-4294-BC32-EB5330619167}">
    <text xml:space="preserve">Die Kosten für die Verpackung, wenn diese für den Verkauf des Produkts erforderlich ist </text>
  </threadedComment>
  <threadedComment ref="C39" dT="2025-06-17T14:24:18.40" personId="{1812CDE6-FC44-4115-8725-B11009A6CF17}" id="{63625332-174C-41FC-ACB2-78BBEBD56086}">
    <text>Die Kosten für den Transport der hergestellten Waren zum Lager des Unternehmens</text>
  </threadedComment>
  <threadedComment ref="C40" dT="2025-06-17T14:24:18.40" personId="{1812CDE6-FC44-4115-8725-B11009A6CF17}" id="{BBF9D816-0F3D-46FC-959C-4942317A7C7D}">
    <text>Die Kosten für den Transport der hergestellten Waren zum Lager des Unternehmens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3" Type="http://schemas.openxmlformats.org/officeDocument/2006/relationships/hyperlink" Target="https://doi.org/10.11581/DTU:00000011" TargetMode="External"/><Relationship Id="rId18" Type="http://schemas.openxmlformats.org/officeDocument/2006/relationships/hyperlink" Target="https://data.environdec.com/datasetdetail/lciamethod.xhtml?lang=en&amp;uuid=b53ec18f-7377-4ad3-86eb-cc3f4f276b2b&amp;version=01.00.011" TargetMode="External"/><Relationship Id="rId26" Type="http://schemas.openxmlformats.org/officeDocument/2006/relationships/hyperlink" Target="https://doi.org/10.1111/j.1530-9290.2011.00342.x" TargetMode="External"/><Relationship Id="rId39" Type="http://schemas.openxmlformats.org/officeDocument/2006/relationships/hyperlink" Target="https://www.iso.org/iso-26000-social-responsibility.html" TargetMode="External"/><Relationship Id="rId21" Type="http://schemas.openxmlformats.org/officeDocument/2006/relationships/hyperlink" Target="https://www.dinmedia.de/de/norm/din-en-45553/329118668" TargetMode="External"/><Relationship Id="rId34" Type="http://schemas.openxmlformats.org/officeDocument/2006/relationships/hyperlink" Target="https://navigator.sasb.ifrs.org/sector/RT/industry/RT-EE" TargetMode="External"/><Relationship Id="rId42" Type="http://schemas.openxmlformats.org/officeDocument/2006/relationships/hyperlink" Target="https://navigator.sasb.ifrs.org/sector/RT/industry/RT-IG" TargetMode="External"/><Relationship Id="rId47" Type="http://schemas.openxmlformats.org/officeDocument/2006/relationships/hyperlink" Target="https://navigator.sasb.ifrs.org/sector/RT/industry/RT-CP" TargetMode="External"/><Relationship Id="rId50" Type="http://schemas.openxmlformats.org/officeDocument/2006/relationships/hyperlink" Target="https://doi.org/10.1007/s00170-017-1201-5" TargetMode="External"/><Relationship Id="rId55" Type="http://schemas.openxmlformats.org/officeDocument/2006/relationships/hyperlink" Target="https://www.globalreporting.org/how-to-use-the-gri-standards/gri-standards-english-language/" TargetMode="External"/><Relationship Id="rId63" Type="http://schemas.openxmlformats.org/officeDocument/2006/relationships/hyperlink" Target="https://www.globalreporting.org/how-to-use-the-gri-standards/gri-standards-english-language/" TargetMode="External"/><Relationship Id="rId68" Type="http://schemas.openxmlformats.org/officeDocument/2006/relationships/hyperlink" Target="https://www.globalreporting.org/how-to-use-the-gri-standards/gri-standards-english-language/" TargetMode="External"/><Relationship Id="rId76" Type="http://schemas.openxmlformats.org/officeDocument/2006/relationships/hyperlink" Target="https://eur-lex.europa.eu/eli/reg_del/2023/2772/oj" TargetMode="External"/><Relationship Id="rId84" Type="http://schemas.openxmlformats.org/officeDocument/2006/relationships/hyperlink" Target="https://c2ccertified.org/the-standard" TargetMode="External"/><Relationship Id="rId89" Type="http://schemas.openxmlformats.org/officeDocument/2006/relationships/hyperlink" Target="https://www.iso.org/standard/38498.html" TargetMode="External"/><Relationship Id="rId7" Type="http://schemas.openxmlformats.org/officeDocument/2006/relationships/hyperlink" Target="https://www.din.de/en/getting-involved/standards-committees/nabau/publications/wdc-beuth:din21:344735627" TargetMode="External"/><Relationship Id="rId71" Type="http://schemas.openxmlformats.org/officeDocument/2006/relationships/hyperlink" Target="https://www.globalreporting.org/how-to-use-the-gri-standards/gri-standards-english-language/" TargetMode="External"/><Relationship Id="rId2" Type="http://schemas.openxmlformats.org/officeDocument/2006/relationships/hyperlink" Target="https://doi.org/10.1109/EGG.2016.7829855" TargetMode="External"/><Relationship Id="rId16" Type="http://schemas.openxmlformats.org/officeDocument/2006/relationships/hyperlink" Target="https://doi.org/10.1007/s11367-017-1333-8" TargetMode="External"/><Relationship Id="rId29" Type="http://schemas.openxmlformats.org/officeDocument/2006/relationships/hyperlink" Target="https://doi.org/10.1016/j.spc.2021.02.017" TargetMode="External"/><Relationship Id="rId11" Type="http://schemas.openxmlformats.org/officeDocument/2006/relationships/hyperlink" Target="https://doi.org/10.1016/j.procir.2014.06.050" TargetMode="External"/><Relationship Id="rId24" Type="http://schemas.openxmlformats.org/officeDocument/2006/relationships/hyperlink" Target="https://doi.org/10.1007/978-3-319-32098-4_27" TargetMode="External"/><Relationship Id="rId32" Type="http://schemas.openxmlformats.org/officeDocument/2006/relationships/hyperlink" Target="https://doi.org/10.1016/j.clscn.2025.100260" TargetMode="External"/><Relationship Id="rId37" Type="http://schemas.openxmlformats.org/officeDocument/2006/relationships/hyperlink" Target="https://navigator.sasb.ifrs.org/sector/TR/industry/TR-RO" TargetMode="External"/><Relationship Id="rId40" Type="http://schemas.openxmlformats.org/officeDocument/2006/relationships/hyperlink" Target="https://doi.org/10.1016/j.renene.2025.123612" TargetMode="External"/><Relationship Id="rId45" Type="http://schemas.openxmlformats.org/officeDocument/2006/relationships/hyperlink" Target="https://navigator.sasb.ifrs.org/sector/RT/industry/RT-CP" TargetMode="External"/><Relationship Id="rId53" Type="http://schemas.openxmlformats.org/officeDocument/2006/relationships/hyperlink" Target="https://www.globalreporting.org/how-to-use-the-gri-standards/gri-standards-english-language/" TargetMode="External"/><Relationship Id="rId58" Type="http://schemas.openxmlformats.org/officeDocument/2006/relationships/hyperlink" Target="https://www.globalreporting.org/how-to-use-the-gri-standards/gri-standards-english-language/" TargetMode="External"/><Relationship Id="rId66" Type="http://schemas.openxmlformats.org/officeDocument/2006/relationships/hyperlink" Target="https://www.globalreporting.org/how-to-use-the-gri-standards/gri-standards-english-language/" TargetMode="External"/><Relationship Id="rId74" Type="http://schemas.openxmlformats.org/officeDocument/2006/relationships/hyperlink" Target="https://eur-lex.europa.eu/eli/reg_del/2023/2772/oj" TargetMode="External"/><Relationship Id="rId79" Type="http://schemas.openxmlformats.org/officeDocument/2006/relationships/hyperlink" Target="https://eur-lex.europa.eu/eli/reg_del/2023/2772/oj" TargetMode="External"/><Relationship Id="rId87" Type="http://schemas.openxmlformats.org/officeDocument/2006/relationships/hyperlink" Target="https://www.iso.org/standard/80650.html" TargetMode="External"/><Relationship Id="rId5" Type="http://schemas.openxmlformats.org/officeDocument/2006/relationships/hyperlink" Target="https://doi.org/10.1016/j.jclepro.2019.118314" TargetMode="External"/><Relationship Id="rId61" Type="http://schemas.openxmlformats.org/officeDocument/2006/relationships/hyperlink" Target="https://www.globalreporting.org/how-to-use-the-gri-standards/gri-standards-english-language/" TargetMode="External"/><Relationship Id="rId82" Type="http://schemas.openxmlformats.org/officeDocument/2006/relationships/hyperlink" Target="https://eur-lex.europa.eu/eli/reg_del/2023/2772/oj" TargetMode="External"/><Relationship Id="rId90" Type="http://schemas.openxmlformats.org/officeDocument/2006/relationships/hyperlink" Target="https://www.iso.org/standard/71206.html" TargetMode="External"/><Relationship Id="rId19" Type="http://schemas.openxmlformats.org/officeDocument/2006/relationships/hyperlink" Target="https://www.dinmedia.de/de/norm/din-en-45560/385406553" TargetMode="External"/><Relationship Id="rId14" Type="http://schemas.openxmlformats.org/officeDocument/2006/relationships/hyperlink" Target="https://doi.org/10.1016/S0195-9255(99)00042-6" TargetMode="External"/><Relationship Id="rId22" Type="http://schemas.openxmlformats.org/officeDocument/2006/relationships/hyperlink" Target="https://www.dinmedia.de/de/norm/din-en-45557/316877808" TargetMode="External"/><Relationship Id="rId27" Type="http://schemas.openxmlformats.org/officeDocument/2006/relationships/hyperlink" Target="https://doi.org/10.1016/j.jclepro.2019.119137" TargetMode="External"/><Relationship Id="rId30" Type="http://schemas.openxmlformats.org/officeDocument/2006/relationships/hyperlink" Target="https://doi.org/10.1016/j.dib.2025.111496" TargetMode="External"/><Relationship Id="rId35" Type="http://schemas.openxmlformats.org/officeDocument/2006/relationships/hyperlink" Target="https://navigator.sasb.ifrs.org/sector/TC/industry/TC-HW" TargetMode="External"/><Relationship Id="rId43" Type="http://schemas.openxmlformats.org/officeDocument/2006/relationships/hyperlink" Target="https://navigator.sasb.ifrs.org/sector/RT/industry/RT-EE" TargetMode="External"/><Relationship Id="rId48" Type="http://schemas.openxmlformats.org/officeDocument/2006/relationships/hyperlink" Target="https://navigator.sasb.ifrs.org/sector/RT/industry/RT-CP" TargetMode="External"/><Relationship Id="rId56" Type="http://schemas.openxmlformats.org/officeDocument/2006/relationships/hyperlink" Target="https://www.globalreporting.org/how-to-use-the-gri-standards/gri-standards-english-language/" TargetMode="External"/><Relationship Id="rId64" Type="http://schemas.openxmlformats.org/officeDocument/2006/relationships/hyperlink" Target="https://www.globalreporting.org/how-to-use-the-gri-standards/gri-standards-english-language/" TargetMode="External"/><Relationship Id="rId69" Type="http://schemas.openxmlformats.org/officeDocument/2006/relationships/hyperlink" Target="https://www.globalreporting.org/how-to-use-the-gri-standards/gri-standards-english-language/" TargetMode="External"/><Relationship Id="rId77" Type="http://schemas.openxmlformats.org/officeDocument/2006/relationships/hyperlink" Target="https://eur-lex.europa.eu/eli/reg_del/2023/2772/oj" TargetMode="External"/><Relationship Id="rId8" Type="http://schemas.openxmlformats.org/officeDocument/2006/relationships/hyperlink" Target="https://www.globalreporting.org/how-to-use-the-gri-standards/gri-standards-english-language/" TargetMode="External"/><Relationship Id="rId51" Type="http://schemas.openxmlformats.org/officeDocument/2006/relationships/hyperlink" Target="https://www.iso.org/standard/66652.html" TargetMode="External"/><Relationship Id="rId72" Type="http://schemas.openxmlformats.org/officeDocument/2006/relationships/hyperlink" Target="https://www.globalreporting.org/how-to-use-the-gri-standards/gri-standards-english-language/" TargetMode="External"/><Relationship Id="rId80" Type="http://schemas.openxmlformats.org/officeDocument/2006/relationships/hyperlink" Target="https://eur-lex.europa.eu/eli/reg_del/2023/2772/oj" TargetMode="External"/><Relationship Id="rId85" Type="http://schemas.openxmlformats.org/officeDocument/2006/relationships/hyperlink" Target="https://eur-lex.europa.eu/eli/reg_del/2023/2772/oj" TargetMode="External"/><Relationship Id="rId3" Type="http://schemas.openxmlformats.org/officeDocument/2006/relationships/hyperlink" Target="https://doi.org/10.3390/su14148634" TargetMode="External"/><Relationship Id="rId12" Type="http://schemas.openxmlformats.org/officeDocument/2006/relationships/hyperlink" Target="https://doi.org/10.1016/j.tre.2011.10.001" TargetMode="External"/><Relationship Id="rId17" Type="http://schemas.openxmlformats.org/officeDocument/2006/relationships/hyperlink" Target="https://web.universiteitleiden.nl/cml/ssp/projects/lca2/report_abiotic_depletion_web.pdf" TargetMode="External"/><Relationship Id="rId25" Type="http://schemas.openxmlformats.org/officeDocument/2006/relationships/hyperlink" Target="https://doi.org/10.1016/j.jclepro.2019.119137" TargetMode="External"/><Relationship Id="rId33" Type="http://schemas.openxmlformats.org/officeDocument/2006/relationships/hyperlink" Target="https://www.researchgate.net/publication/302559709_ReCiPE_2008_A_life_cycle_impact_assessment_method_which_comprises_harmonised_category_indicators_at_the_midpoint_and_the_endpoint_level" TargetMode="External"/><Relationship Id="rId38" Type="http://schemas.openxmlformats.org/officeDocument/2006/relationships/hyperlink" Target="https://www.ifrs.org/issued-standards/ifrs-sustainability-standards-navigator/ifrs-s2-climate-related-disclosures/" TargetMode="External"/><Relationship Id="rId46" Type="http://schemas.openxmlformats.org/officeDocument/2006/relationships/hyperlink" Target="https://navigator.sasb.ifrs.org/sector/RT/industry/RT-CP" TargetMode="External"/><Relationship Id="rId59" Type="http://schemas.openxmlformats.org/officeDocument/2006/relationships/hyperlink" Target="https://www.globalreporting.org/how-to-use-the-gri-standards/gri-standards-english-language/" TargetMode="External"/><Relationship Id="rId67" Type="http://schemas.openxmlformats.org/officeDocument/2006/relationships/hyperlink" Target="https://www.globalreporting.org/how-to-use-the-gri-standards/gri-standards-english-language/" TargetMode="External"/><Relationship Id="rId20" Type="http://schemas.openxmlformats.org/officeDocument/2006/relationships/hyperlink" Target="https://www.dinmedia.de/de/norm/din-en-45554/327255150" TargetMode="External"/><Relationship Id="rId41" Type="http://schemas.openxmlformats.org/officeDocument/2006/relationships/hyperlink" Target="https://navigator.sasb.ifrs.org/sector/RT/industry/RT-CP" TargetMode="External"/><Relationship Id="rId54" Type="http://schemas.openxmlformats.org/officeDocument/2006/relationships/hyperlink" Target="https://www.globalreporting.org/how-to-use-the-gri-standards/gri-standards-english-language/" TargetMode="External"/><Relationship Id="rId62" Type="http://schemas.openxmlformats.org/officeDocument/2006/relationships/hyperlink" Target="https://www.globalreporting.org/how-to-use-the-gri-standards/gri-standards-english-language/" TargetMode="External"/><Relationship Id="rId70" Type="http://schemas.openxmlformats.org/officeDocument/2006/relationships/hyperlink" Target="https://www.globalreporting.org/how-to-use-the-gri-standards/gri-standards-english-language/" TargetMode="External"/><Relationship Id="rId75" Type="http://schemas.openxmlformats.org/officeDocument/2006/relationships/hyperlink" Target="https://eur-lex.europa.eu/eli/reg_del/2023/2772/oj" TargetMode="External"/><Relationship Id="rId83" Type="http://schemas.openxmlformats.org/officeDocument/2006/relationships/hyperlink" Target="https://c2ccertified.org/the-standard" TargetMode="External"/><Relationship Id="rId88" Type="http://schemas.openxmlformats.org/officeDocument/2006/relationships/hyperlink" Target="https://www.iso.org/standard/43263.html" TargetMode="External"/><Relationship Id="rId91" Type="http://schemas.openxmlformats.org/officeDocument/2006/relationships/table" Target="../tables/table10.xml"/><Relationship Id="rId1" Type="http://schemas.openxmlformats.org/officeDocument/2006/relationships/hyperlink" Target="https://doi.org/10.1016/j.jclepro.2016.05.023" TargetMode="External"/><Relationship Id="rId6" Type="http://schemas.openxmlformats.org/officeDocument/2006/relationships/hyperlink" Target="https://www.ifrs.org/issued-standards/sasb-standards/" TargetMode="External"/><Relationship Id="rId15" Type="http://schemas.openxmlformats.org/officeDocument/2006/relationships/hyperlink" Target="https://eur-lex.europa.eu/eli/reco/2021/2279" TargetMode="External"/><Relationship Id="rId23" Type="http://schemas.openxmlformats.org/officeDocument/2006/relationships/hyperlink" Target="https://doi.org/10.1016/j.resconrec.2021.106042" TargetMode="External"/><Relationship Id="rId28" Type="http://schemas.openxmlformats.org/officeDocument/2006/relationships/hyperlink" Target="https://doi.org/10.3390/su12114483" TargetMode="External"/><Relationship Id="rId36" Type="http://schemas.openxmlformats.org/officeDocument/2006/relationships/hyperlink" Target="https://navigator.sasb.ifrs.org/sector/TC/industry/TC-SI" TargetMode="External"/><Relationship Id="rId49" Type="http://schemas.openxmlformats.org/officeDocument/2006/relationships/hyperlink" Target="https://www.din.de/en/getting-involved/standards-committees/nabau/publications/wdc-beuth:din21:344735627" TargetMode="External"/><Relationship Id="rId57" Type="http://schemas.openxmlformats.org/officeDocument/2006/relationships/hyperlink" Target="https://www.globalreporting.org/how-to-use-the-gri-standards/gri-standards-english-language/" TargetMode="External"/><Relationship Id="rId10" Type="http://schemas.openxmlformats.org/officeDocument/2006/relationships/hyperlink" Target="https://doi.org/10.1016/j.jclepro.2005.11.028" TargetMode="External"/><Relationship Id="rId31" Type="http://schemas.openxmlformats.org/officeDocument/2006/relationships/hyperlink" Target="https://doi.org/10.1016/j.jclepro.2023.136434" TargetMode="External"/><Relationship Id="rId44" Type="http://schemas.openxmlformats.org/officeDocument/2006/relationships/hyperlink" Target="https://navigator.sasb.ifrs.org/sector/RT/industry/RT-CP" TargetMode="External"/><Relationship Id="rId52" Type="http://schemas.openxmlformats.org/officeDocument/2006/relationships/hyperlink" Target="https://www.globalreporting.org/how-to-use-the-gri-standards/gri-standards-english-language/" TargetMode="External"/><Relationship Id="rId60" Type="http://schemas.openxmlformats.org/officeDocument/2006/relationships/hyperlink" Target="https://www.globalreporting.org/how-to-use-the-gri-standards/gri-standards-english-language/" TargetMode="External"/><Relationship Id="rId65" Type="http://schemas.openxmlformats.org/officeDocument/2006/relationships/hyperlink" Target="https://www.globalreporting.org/how-to-use-the-gri-standards/gri-standards-english-language/" TargetMode="External"/><Relationship Id="rId73" Type="http://schemas.openxmlformats.org/officeDocument/2006/relationships/hyperlink" Target="https://eur-lex.europa.eu/eli/reg_del/2023/2772/oj" TargetMode="External"/><Relationship Id="rId78" Type="http://schemas.openxmlformats.org/officeDocument/2006/relationships/hyperlink" Target="https://eur-lex.europa.eu/eli/reg_del/2023/2772/oj" TargetMode="External"/><Relationship Id="rId81" Type="http://schemas.openxmlformats.org/officeDocument/2006/relationships/hyperlink" Target="https://eur-lex.europa.eu/eli/reg_del/2023/2772/oj" TargetMode="External"/><Relationship Id="rId86" Type="http://schemas.openxmlformats.org/officeDocument/2006/relationships/hyperlink" Target="https://psilca.net/" TargetMode="External"/><Relationship Id="rId4" Type="http://schemas.openxmlformats.org/officeDocument/2006/relationships/hyperlink" Target="https://doi.org/10.1115/1.4066127" TargetMode="External"/><Relationship Id="rId9" Type="http://schemas.openxmlformats.org/officeDocument/2006/relationships/hyperlink" Target="http://dx.doi.org/10.1007/978-3-319-66926-7_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9E52-D5F2-47DF-95F4-841388F8B6B3}">
  <sheetPr>
    <tabColor theme="0"/>
  </sheetPr>
  <dimension ref="B4:K16"/>
  <sheetViews>
    <sheetView zoomScale="70" zoomScaleNormal="70" workbookViewId="0">
      <selection activeCell="J20" sqref="J20"/>
    </sheetView>
  </sheetViews>
  <sheetFormatPr defaultColWidth="11.42578125" defaultRowHeight="15" x14ac:dyDescent="0.25"/>
  <cols>
    <col min="1" max="1" width="11.42578125" style="187" customWidth="1"/>
    <col min="2" max="2" width="17.42578125" style="187" customWidth="1"/>
    <col min="3" max="3" width="133.85546875" style="14" customWidth="1"/>
    <col min="4" max="4" width="11.42578125" style="187"/>
    <col min="5" max="5" width="9.5703125" style="187" bestFit="1" customWidth="1"/>
    <col min="6" max="6" width="17.5703125" style="187" customWidth="1"/>
    <col min="7" max="7" width="88" style="14" customWidth="1"/>
    <col min="8" max="8" width="11.42578125" style="187"/>
    <col min="9" max="9" width="14.5703125" style="187" customWidth="1"/>
    <col min="10" max="10" width="83.140625" style="14" customWidth="1"/>
    <col min="11" max="16384" width="11.42578125" style="187"/>
  </cols>
  <sheetData>
    <row r="4" spans="2:11" ht="23.25" x14ac:dyDescent="0.35">
      <c r="B4" s="396" t="s">
        <v>1</v>
      </c>
      <c r="C4" s="397"/>
      <c r="E4" s="398" t="s">
        <v>2</v>
      </c>
      <c r="F4" s="399"/>
      <c r="G4" s="399"/>
      <c r="I4" s="394" t="s">
        <v>0</v>
      </c>
      <c r="J4" s="395"/>
      <c r="K4" s="204"/>
    </row>
    <row r="5" spans="2:11" ht="23.25" x14ac:dyDescent="0.35">
      <c r="B5" s="336" t="s">
        <v>5</v>
      </c>
      <c r="C5" s="337" t="s">
        <v>4</v>
      </c>
      <c r="E5" s="187" t="s">
        <v>6</v>
      </c>
      <c r="F5" s="187" t="s">
        <v>7</v>
      </c>
      <c r="G5" s="14" t="s">
        <v>8</v>
      </c>
      <c r="I5" s="205" t="s">
        <v>3</v>
      </c>
      <c r="J5" s="206" t="s">
        <v>4</v>
      </c>
    </row>
    <row r="6" spans="2:11" ht="88.5" customHeight="1" x14ac:dyDescent="0.25">
      <c r="B6" s="338" t="s">
        <v>9</v>
      </c>
      <c r="C6" s="339" t="s">
        <v>1345</v>
      </c>
      <c r="E6" s="209" t="s">
        <v>10</v>
      </c>
      <c r="F6" s="210" t="s">
        <v>11</v>
      </c>
      <c r="G6" s="211" t="s">
        <v>12</v>
      </c>
      <c r="I6" s="207" t="s">
        <v>17</v>
      </c>
      <c r="J6" s="341" t="s">
        <v>18</v>
      </c>
      <c r="K6" s="207"/>
    </row>
    <row r="7" spans="2:11" ht="163.5" customHeight="1" x14ac:dyDescent="0.25">
      <c r="B7" s="338" t="s">
        <v>13</v>
      </c>
      <c r="C7" s="339" t="s">
        <v>1343</v>
      </c>
      <c r="E7" s="212" t="s">
        <v>14</v>
      </c>
      <c r="F7" s="213" t="s">
        <v>15</v>
      </c>
      <c r="G7" s="214" t="s">
        <v>16</v>
      </c>
      <c r="I7" s="207" t="s">
        <v>23</v>
      </c>
      <c r="J7" s="341" t="s">
        <v>24</v>
      </c>
      <c r="K7" s="207"/>
    </row>
    <row r="8" spans="2:11" ht="241.5" customHeight="1" x14ac:dyDescent="0.25">
      <c r="B8" s="340" t="s">
        <v>19</v>
      </c>
      <c r="C8" s="340" t="s">
        <v>1344</v>
      </c>
      <c r="E8" s="215" t="s">
        <v>20</v>
      </c>
      <c r="F8" s="213" t="s">
        <v>21</v>
      </c>
      <c r="G8" s="214" t="s">
        <v>22</v>
      </c>
      <c r="I8" s="207" t="s">
        <v>28</v>
      </c>
      <c r="J8" s="341" t="s">
        <v>29</v>
      </c>
      <c r="K8" s="207"/>
    </row>
    <row r="9" spans="2:11" ht="30" x14ac:dyDescent="0.25">
      <c r="B9" s="340"/>
      <c r="C9" s="340"/>
      <c r="E9" s="216" t="s">
        <v>25</v>
      </c>
      <c r="F9" s="217" t="s">
        <v>26</v>
      </c>
      <c r="G9" s="218" t="s">
        <v>27</v>
      </c>
      <c r="I9" s="187" t="s">
        <v>33</v>
      </c>
      <c r="J9" s="341" t="s">
        <v>34</v>
      </c>
      <c r="K9" s="207"/>
    </row>
    <row r="10" spans="2:11" ht="30" x14ac:dyDescent="0.25">
      <c r="B10" s="340"/>
      <c r="C10" s="340"/>
      <c r="E10" s="216" t="s">
        <v>30</v>
      </c>
      <c r="F10" s="217" t="s">
        <v>31</v>
      </c>
      <c r="G10" s="218" t="s">
        <v>32</v>
      </c>
      <c r="I10" s="187" t="s">
        <v>38</v>
      </c>
      <c r="J10" s="341" t="s">
        <v>39</v>
      </c>
      <c r="K10" s="207"/>
    </row>
    <row r="11" spans="2:11" ht="60" x14ac:dyDescent="0.25">
      <c r="B11" s="207"/>
      <c r="C11" s="208"/>
      <c r="E11" s="216" t="s">
        <v>35</v>
      </c>
      <c r="F11" s="217" t="s">
        <v>36</v>
      </c>
      <c r="G11" s="218" t="s">
        <v>37</v>
      </c>
      <c r="I11" s="207" t="s">
        <v>48</v>
      </c>
      <c r="J11" s="208" t="s">
        <v>1128</v>
      </c>
      <c r="K11" s="207"/>
    </row>
    <row r="12" spans="2:11" ht="75" x14ac:dyDescent="0.25">
      <c r="B12" s="207"/>
      <c r="C12" s="208"/>
      <c r="E12" s="216" t="s">
        <v>40</v>
      </c>
      <c r="F12" s="217" t="s">
        <v>41</v>
      </c>
      <c r="G12" s="218" t="s">
        <v>42</v>
      </c>
      <c r="I12" s="187" t="s">
        <v>43</v>
      </c>
      <c r="J12" s="208" t="s">
        <v>44</v>
      </c>
      <c r="K12" s="207"/>
    </row>
    <row r="13" spans="2:11" ht="30" x14ac:dyDescent="0.25">
      <c r="B13" s="207"/>
      <c r="C13" s="208"/>
      <c r="E13" s="216" t="s">
        <v>45</v>
      </c>
      <c r="F13" s="217" t="s">
        <v>46</v>
      </c>
      <c r="G13" s="218" t="s">
        <v>47</v>
      </c>
      <c r="I13" s="207" t="s">
        <v>1348</v>
      </c>
      <c r="J13" s="208" t="s">
        <v>1350</v>
      </c>
      <c r="K13" s="207"/>
    </row>
    <row r="14" spans="2:11" ht="30" x14ac:dyDescent="0.25">
      <c r="E14" s="212" t="s">
        <v>49</v>
      </c>
      <c r="F14" s="213" t="s">
        <v>50</v>
      </c>
      <c r="G14" s="214" t="s">
        <v>51</v>
      </c>
      <c r="I14" s="207" t="s">
        <v>1349</v>
      </c>
      <c r="J14" s="208" t="s">
        <v>1351</v>
      </c>
    </row>
    <row r="15" spans="2:11" x14ac:dyDescent="0.25">
      <c r="E15" s="219" t="s">
        <v>52</v>
      </c>
      <c r="F15" s="220" t="s">
        <v>53</v>
      </c>
      <c r="G15" s="221" t="s">
        <v>54</v>
      </c>
    </row>
    <row r="16" spans="2:11" x14ac:dyDescent="0.25">
      <c r="E16" s="343"/>
      <c r="F16" s="343"/>
      <c r="G16" s="344"/>
    </row>
  </sheetData>
  <mergeCells count="3">
    <mergeCell ref="I4:J4"/>
    <mergeCell ref="B4:C4"/>
    <mergeCell ref="E4:G4"/>
  </mergeCells>
  <pageMargins left="0.7" right="0.7" top="0.78740157499999996" bottom="0.78740157499999996" header="0.3" footer="0.3"/>
  <pageSetup paperSize="9" orientation="portrait"/>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F235-F691-4E4E-A49C-31C0373AA504}">
  <sheetPr>
    <tabColor theme="0"/>
  </sheetPr>
  <dimension ref="A2:O9"/>
  <sheetViews>
    <sheetView topLeftCell="A4" zoomScale="85" zoomScaleNormal="85" workbookViewId="0">
      <selection activeCell="H6" sqref="H6"/>
    </sheetView>
  </sheetViews>
  <sheetFormatPr defaultColWidth="11.42578125" defaultRowHeight="15" x14ac:dyDescent="0.25"/>
  <cols>
    <col min="1" max="1" width="22.140625" style="3" bestFit="1" customWidth="1"/>
    <col min="2" max="2" width="70.42578125" style="3" customWidth="1"/>
    <col min="3" max="3" width="117.140625" style="4" customWidth="1"/>
    <col min="4" max="4" width="106" style="4" customWidth="1"/>
    <col min="13" max="13" width="16.5703125" bestFit="1" customWidth="1"/>
    <col min="14" max="14" width="29" style="2" customWidth="1"/>
    <col min="15" max="15" width="27.5703125" style="2" customWidth="1"/>
  </cols>
  <sheetData>
    <row r="2" spans="1:15" ht="203.1" customHeight="1" x14ac:dyDescent="0.25"/>
    <row r="3" spans="1:15" x14ac:dyDescent="0.25">
      <c r="A3" s="243" t="s">
        <v>55</v>
      </c>
      <c r="B3" s="244" t="s">
        <v>8</v>
      </c>
      <c r="C3" s="244" t="s">
        <v>56</v>
      </c>
      <c r="D3"/>
      <c r="M3" s="2"/>
      <c r="O3"/>
    </row>
    <row r="4" spans="1:15" ht="115.15" customHeight="1" x14ac:dyDescent="0.25">
      <c r="A4" s="231" t="s">
        <v>57</v>
      </c>
      <c r="B4" s="232" t="s">
        <v>1651</v>
      </c>
      <c r="C4" s="232" t="s">
        <v>959</v>
      </c>
      <c r="D4"/>
      <c r="M4" s="2"/>
      <c r="O4"/>
    </row>
    <row r="5" spans="1:15" ht="72" customHeight="1" x14ac:dyDescent="0.25">
      <c r="A5" s="237" t="s">
        <v>61</v>
      </c>
      <c r="B5" s="238" t="s">
        <v>1652</v>
      </c>
      <c r="C5" s="238" t="s">
        <v>1653</v>
      </c>
      <c r="D5"/>
      <c r="M5" s="2"/>
      <c r="O5"/>
    </row>
    <row r="6" spans="1:15" ht="158.44999999999999" customHeight="1" x14ac:dyDescent="0.25">
      <c r="A6" s="239" t="s">
        <v>1654</v>
      </c>
      <c r="B6" s="240" t="s">
        <v>62</v>
      </c>
      <c r="C6" s="240" t="s">
        <v>1061</v>
      </c>
      <c r="D6"/>
      <c r="M6" s="2"/>
      <c r="O6"/>
    </row>
    <row r="7" spans="1:15" ht="158.44999999999999" customHeight="1" x14ac:dyDescent="0.25">
      <c r="A7" s="235" t="s">
        <v>60</v>
      </c>
      <c r="B7" s="236" t="s">
        <v>1655</v>
      </c>
      <c r="C7" s="236" t="s">
        <v>1656</v>
      </c>
      <c r="D7"/>
      <c r="M7" s="2"/>
      <c r="O7"/>
    </row>
    <row r="8" spans="1:15" ht="144" customHeight="1" x14ac:dyDescent="0.25">
      <c r="A8" s="233" t="s">
        <v>58</v>
      </c>
      <c r="B8" s="234" t="s">
        <v>59</v>
      </c>
      <c r="C8" s="234" t="s">
        <v>1066</v>
      </c>
      <c r="D8"/>
      <c r="M8" s="2"/>
      <c r="O8"/>
    </row>
    <row r="9" spans="1:15" ht="72" customHeight="1" x14ac:dyDescent="0.25">
      <c r="A9" s="241" t="s">
        <v>63</v>
      </c>
      <c r="B9" s="242" t="s">
        <v>64</v>
      </c>
      <c r="C9" s="242" t="s">
        <v>1657</v>
      </c>
      <c r="D9"/>
      <c r="M9" s="2"/>
      <c r="O9"/>
    </row>
  </sheetData>
  <pageMargins left="0.7" right="0.7" top="0.78740157499999996" bottom="0.78740157499999996" header="0.3" footer="0.3"/>
  <pageSetup paperSize="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4F22-CF84-4DAF-8624-80A6F6A87967}">
  <sheetPr>
    <tabColor rgb="FFCCFFCC"/>
  </sheetPr>
  <dimension ref="A1:V65"/>
  <sheetViews>
    <sheetView zoomScale="104" zoomScaleNormal="70" workbookViewId="0">
      <pane ySplit="1" topLeftCell="A2" activePane="bottomLeft" state="frozen"/>
      <selection pane="bottomLeft" activeCell="J34" sqref="J34"/>
    </sheetView>
  </sheetViews>
  <sheetFormatPr defaultColWidth="11.42578125" defaultRowHeight="15" x14ac:dyDescent="0.25"/>
  <cols>
    <col min="1" max="1" width="10.5703125" style="2"/>
    <col min="2" max="2" width="48" style="2" bestFit="1" customWidth="1"/>
    <col min="3" max="3" width="43.5703125" style="2" bestFit="1" customWidth="1"/>
    <col min="4" max="4" width="43.5703125" style="2" hidden="1" customWidth="1"/>
    <col min="5" max="5" width="31.5703125" style="14" customWidth="1"/>
    <col min="6" max="6" width="26" style="14" customWidth="1"/>
    <col min="7" max="7" width="27.140625" style="2" customWidth="1"/>
    <col min="8" max="8" width="11.42578125" style="1" bestFit="1"/>
    <col min="9" max="9" width="39" style="2" customWidth="1"/>
    <col min="10" max="10" width="26.42578125" style="2" customWidth="1"/>
    <col min="11" max="11" width="8" style="2" customWidth="1"/>
    <col min="12" max="12" width="10.7109375" style="2" customWidth="1"/>
    <col min="14" max="14" width="16.140625" style="2" customWidth="1"/>
    <col min="15" max="16" width="16.140625" style="2" hidden="1" customWidth="1"/>
    <col min="17" max="17" width="16.140625" style="2" customWidth="1"/>
    <col min="18" max="18" width="25.85546875" style="2" customWidth="1"/>
    <col min="19" max="19" width="19.140625" style="2" customWidth="1"/>
  </cols>
  <sheetData>
    <row r="1" spans="1:22" ht="30" x14ac:dyDescent="0.25">
      <c r="A1" s="20" t="s">
        <v>65</v>
      </c>
      <c r="B1" s="21" t="s">
        <v>66</v>
      </c>
      <c r="C1" s="21" t="s">
        <v>8</v>
      </c>
      <c r="D1" s="21" t="s">
        <v>67</v>
      </c>
      <c r="E1" s="22" t="s">
        <v>68</v>
      </c>
      <c r="F1" s="22" t="s">
        <v>1352</v>
      </c>
      <c r="G1" s="23" t="s">
        <v>69</v>
      </c>
      <c r="H1" s="21" t="s">
        <v>70</v>
      </c>
      <c r="I1" s="21" t="s">
        <v>71</v>
      </c>
      <c r="J1" s="21" t="s">
        <v>72</v>
      </c>
      <c r="K1" s="21" t="s">
        <v>73</v>
      </c>
      <c r="L1" s="229" t="s">
        <v>74</v>
      </c>
      <c r="M1" s="229" t="s">
        <v>1471</v>
      </c>
      <c r="N1" s="24" t="s">
        <v>1342</v>
      </c>
      <c r="O1" s="24" t="s">
        <v>1219</v>
      </c>
      <c r="P1" s="24" t="s">
        <v>1220</v>
      </c>
      <c r="Q1" s="24" t="s">
        <v>1346</v>
      </c>
      <c r="R1" s="24" t="s">
        <v>75</v>
      </c>
      <c r="S1" s="356" t="s">
        <v>1482</v>
      </c>
      <c r="T1" s="356" t="s">
        <v>1483</v>
      </c>
      <c r="U1" s="356" t="s">
        <v>1484</v>
      </c>
      <c r="V1" s="356" t="s">
        <v>1485</v>
      </c>
    </row>
    <row r="2" spans="1:22" ht="120" x14ac:dyDescent="0.25">
      <c r="A2" s="33" t="s">
        <v>429</v>
      </c>
      <c r="B2" s="34" t="s">
        <v>430</v>
      </c>
      <c r="C2" s="34" t="s">
        <v>431</v>
      </c>
      <c r="D2" s="34" t="s">
        <v>432</v>
      </c>
      <c r="E2" s="35" t="s">
        <v>1486</v>
      </c>
      <c r="F2" s="35" t="s">
        <v>78</v>
      </c>
      <c r="G2" s="34" t="s">
        <v>78</v>
      </c>
      <c r="H2" s="36" t="s">
        <v>79</v>
      </c>
      <c r="I2" s="34" t="s">
        <v>1658</v>
      </c>
      <c r="J2" s="34"/>
      <c r="K2" s="35">
        <v>1</v>
      </c>
      <c r="L2" s="34"/>
      <c r="M2" s="37"/>
      <c r="N2" s="37" t="s">
        <v>1126</v>
      </c>
      <c r="O2" s="37" t="s">
        <v>1172</v>
      </c>
      <c r="P2" s="37"/>
      <c r="Q2" s="37"/>
      <c r="R2" s="37"/>
      <c r="S2" s="37"/>
      <c r="T2" s="37"/>
      <c r="U2" s="37"/>
      <c r="V2" s="37"/>
    </row>
    <row r="3" spans="1:22" ht="94.5" customHeight="1" x14ac:dyDescent="0.25">
      <c r="A3" s="38" t="s">
        <v>433</v>
      </c>
      <c r="B3" s="39" t="s">
        <v>434</v>
      </c>
      <c r="C3" s="39" t="s">
        <v>1659</v>
      </c>
      <c r="D3" s="39" t="s">
        <v>435</v>
      </c>
      <c r="E3" s="40" t="s">
        <v>1487</v>
      </c>
      <c r="F3" s="40" t="s">
        <v>1488</v>
      </c>
      <c r="G3" s="39" t="s">
        <v>78</v>
      </c>
      <c r="H3" s="41" t="s">
        <v>79</v>
      </c>
      <c r="I3" s="39" t="s">
        <v>1660</v>
      </c>
      <c r="J3" s="39" t="s">
        <v>1481</v>
      </c>
      <c r="K3" s="40">
        <v>2</v>
      </c>
      <c r="L3" s="39"/>
      <c r="M3" s="42"/>
      <c r="N3" s="42" t="s">
        <v>1126</v>
      </c>
      <c r="O3" s="42" t="s">
        <v>1172</v>
      </c>
      <c r="P3" s="42"/>
      <c r="Q3" s="42">
        <v>0.125</v>
      </c>
      <c r="R3" s="42"/>
      <c r="S3" s="42"/>
      <c r="T3" s="42"/>
      <c r="U3" s="42"/>
      <c r="V3" s="42"/>
    </row>
    <row r="4" spans="1:22" ht="47.25" customHeight="1" x14ac:dyDescent="0.25">
      <c r="A4" s="44" t="s">
        <v>436</v>
      </c>
      <c r="B4" s="45" t="s">
        <v>437</v>
      </c>
      <c r="C4" s="45" t="s">
        <v>438</v>
      </c>
      <c r="D4" s="45" t="s">
        <v>439</v>
      </c>
      <c r="E4" s="46" t="s">
        <v>1274</v>
      </c>
      <c r="F4" s="47" t="s">
        <v>433</v>
      </c>
      <c r="G4" s="45" t="s">
        <v>440</v>
      </c>
      <c r="H4" s="48" t="s">
        <v>79</v>
      </c>
      <c r="I4" s="45" t="s">
        <v>441</v>
      </c>
      <c r="J4" s="45"/>
      <c r="K4" s="47">
        <v>3</v>
      </c>
      <c r="L4" s="45"/>
      <c r="M4" s="49"/>
      <c r="N4" s="49" t="s">
        <v>1126</v>
      </c>
      <c r="O4" s="49" t="s">
        <v>1177</v>
      </c>
      <c r="P4" s="49"/>
      <c r="Q4" s="49">
        <v>0.33329999999999999</v>
      </c>
      <c r="R4" s="49" t="s">
        <v>1489</v>
      </c>
      <c r="S4" s="368">
        <v>0</v>
      </c>
      <c r="T4" s="368">
        <v>1</v>
      </c>
      <c r="U4" s="368"/>
      <c r="V4" s="368"/>
    </row>
    <row r="5" spans="1:22" ht="49.15" customHeight="1" x14ac:dyDescent="0.25">
      <c r="A5" s="44" t="s">
        <v>442</v>
      </c>
      <c r="B5" s="45" t="s">
        <v>443</v>
      </c>
      <c r="C5" s="45" t="s">
        <v>1661</v>
      </c>
      <c r="D5" s="45" t="s">
        <v>444</v>
      </c>
      <c r="E5" s="46" t="s">
        <v>481</v>
      </c>
      <c r="F5" s="47" t="s">
        <v>433</v>
      </c>
      <c r="G5" s="45" t="s">
        <v>445</v>
      </c>
      <c r="H5" s="48" t="s">
        <v>79</v>
      </c>
      <c r="I5" s="45" t="s">
        <v>446</v>
      </c>
      <c r="J5" s="45"/>
      <c r="K5" s="47">
        <v>3</v>
      </c>
      <c r="L5" s="45"/>
      <c r="M5" s="49"/>
      <c r="N5" s="49" t="s">
        <v>1126</v>
      </c>
      <c r="O5" s="49" t="s">
        <v>1177</v>
      </c>
      <c r="P5" s="49"/>
      <c r="Q5" s="49">
        <v>0.33329999999999999</v>
      </c>
      <c r="R5" s="49" t="s">
        <v>1490</v>
      </c>
      <c r="S5" s="368">
        <v>0</v>
      </c>
      <c r="T5" s="368">
        <v>1</v>
      </c>
      <c r="U5" s="368"/>
      <c r="V5" s="368"/>
    </row>
    <row r="6" spans="1:22" ht="49.9" customHeight="1" x14ac:dyDescent="0.25">
      <c r="A6" s="44" t="s">
        <v>447</v>
      </c>
      <c r="B6" s="45" t="s">
        <v>448</v>
      </c>
      <c r="C6" s="45" t="s">
        <v>1662</v>
      </c>
      <c r="D6" s="45" t="s">
        <v>449</v>
      </c>
      <c r="E6" s="47" t="s">
        <v>481</v>
      </c>
      <c r="F6" s="47" t="s">
        <v>433</v>
      </c>
      <c r="G6" s="45" t="s">
        <v>450</v>
      </c>
      <c r="H6" s="48" t="s">
        <v>79</v>
      </c>
      <c r="I6" s="45" t="s">
        <v>451</v>
      </c>
      <c r="J6" s="45" t="s">
        <v>452</v>
      </c>
      <c r="K6" s="47">
        <v>3</v>
      </c>
      <c r="L6" s="45"/>
      <c r="M6" s="49"/>
      <c r="N6" s="49" t="s">
        <v>1126</v>
      </c>
      <c r="O6" s="49" t="s">
        <v>1177</v>
      </c>
      <c r="P6" s="49"/>
      <c r="Q6" s="49">
        <v>0.33339999999999997</v>
      </c>
      <c r="R6" s="49" t="s">
        <v>1491</v>
      </c>
      <c r="S6" s="368">
        <v>0</v>
      </c>
      <c r="T6" s="368">
        <v>1</v>
      </c>
      <c r="U6" s="368"/>
      <c r="V6" s="368"/>
    </row>
    <row r="7" spans="1:22" ht="78" customHeight="1" x14ac:dyDescent="0.25">
      <c r="A7" s="44" t="s">
        <v>453</v>
      </c>
      <c r="B7" s="45" t="s">
        <v>454</v>
      </c>
      <c r="C7" s="45" t="s">
        <v>455</v>
      </c>
      <c r="D7" s="45" t="s">
        <v>456</v>
      </c>
      <c r="E7" s="47" t="s">
        <v>1275</v>
      </c>
      <c r="F7" s="47" t="s">
        <v>78</v>
      </c>
      <c r="G7" s="45" t="s">
        <v>457</v>
      </c>
      <c r="H7" s="48" t="s">
        <v>79</v>
      </c>
      <c r="I7" s="45" t="s">
        <v>458</v>
      </c>
      <c r="J7" s="45"/>
      <c r="K7" s="47">
        <v>3</v>
      </c>
      <c r="L7" s="45"/>
      <c r="M7" s="49"/>
      <c r="N7" s="49" t="s">
        <v>1126</v>
      </c>
      <c r="O7" s="49" t="s">
        <v>1172</v>
      </c>
      <c r="P7" s="49"/>
      <c r="Q7" s="49">
        <v>0.25</v>
      </c>
      <c r="R7" s="49" t="s">
        <v>1492</v>
      </c>
      <c r="S7" s="368"/>
      <c r="T7" s="368"/>
      <c r="U7" s="368"/>
      <c r="V7" s="368"/>
    </row>
    <row r="8" spans="1:22" ht="45" x14ac:dyDescent="0.25">
      <c r="A8" s="50" t="s">
        <v>459</v>
      </c>
      <c r="B8" s="51" t="s">
        <v>460</v>
      </c>
      <c r="C8" s="51" t="s">
        <v>461</v>
      </c>
      <c r="D8" s="51" t="s">
        <v>78</v>
      </c>
      <c r="E8" s="52" t="s">
        <v>1276</v>
      </c>
      <c r="F8" s="52" t="s">
        <v>453</v>
      </c>
      <c r="G8" s="51" t="s">
        <v>462</v>
      </c>
      <c r="H8" s="53" t="s">
        <v>79</v>
      </c>
      <c r="I8" s="51" t="s">
        <v>463</v>
      </c>
      <c r="J8" s="51"/>
      <c r="K8" s="52">
        <v>4</v>
      </c>
      <c r="L8" s="51"/>
      <c r="M8" s="54"/>
      <c r="N8" s="54" t="s">
        <v>1129</v>
      </c>
      <c r="O8" s="273" t="s">
        <v>1177</v>
      </c>
      <c r="P8" s="54"/>
      <c r="Q8" s="54">
        <v>0.2</v>
      </c>
      <c r="R8" s="54" t="s">
        <v>1493</v>
      </c>
      <c r="S8" s="370"/>
      <c r="T8" s="370"/>
      <c r="U8" s="370"/>
      <c r="V8" s="370"/>
    </row>
    <row r="9" spans="1:22" ht="45" x14ac:dyDescent="0.25">
      <c r="A9" s="50" t="s">
        <v>464</v>
      </c>
      <c r="B9" s="51" t="s">
        <v>465</v>
      </c>
      <c r="C9" s="51" t="s">
        <v>1141</v>
      </c>
      <c r="D9" s="51" t="s">
        <v>78</v>
      </c>
      <c r="E9" s="52" t="s">
        <v>1276</v>
      </c>
      <c r="F9" s="52" t="s">
        <v>453</v>
      </c>
      <c r="G9" s="51" t="s">
        <v>462</v>
      </c>
      <c r="H9" s="53" t="s">
        <v>79</v>
      </c>
      <c r="I9" s="51" t="s">
        <v>463</v>
      </c>
      <c r="J9" s="51"/>
      <c r="K9" s="52">
        <v>4</v>
      </c>
      <c r="L9" s="51"/>
      <c r="M9" s="54"/>
      <c r="N9" s="54" t="s">
        <v>1130</v>
      </c>
      <c r="O9" s="273" t="s">
        <v>1177</v>
      </c>
      <c r="P9" s="54"/>
      <c r="Q9" s="54">
        <v>0.2</v>
      </c>
      <c r="R9" s="54" t="s">
        <v>1493</v>
      </c>
      <c r="S9" s="370"/>
      <c r="T9" s="370"/>
      <c r="U9" s="370"/>
      <c r="V9" s="370"/>
    </row>
    <row r="10" spans="1:22" ht="45" x14ac:dyDescent="0.25">
      <c r="A10" s="50" t="s">
        <v>466</v>
      </c>
      <c r="B10" s="51" t="s">
        <v>1133</v>
      </c>
      <c r="C10" s="51" t="s">
        <v>1140</v>
      </c>
      <c r="D10" s="51" t="s">
        <v>78</v>
      </c>
      <c r="E10" s="52" t="s">
        <v>1276</v>
      </c>
      <c r="F10" s="52" t="s">
        <v>453</v>
      </c>
      <c r="G10" s="51" t="s">
        <v>462</v>
      </c>
      <c r="H10" s="53" t="s">
        <v>79</v>
      </c>
      <c r="I10" s="51" t="s">
        <v>463</v>
      </c>
      <c r="J10" s="51"/>
      <c r="K10" s="52">
        <v>4</v>
      </c>
      <c r="L10" s="51"/>
      <c r="M10" s="54"/>
      <c r="N10" s="54" t="s">
        <v>1134</v>
      </c>
      <c r="O10" s="273" t="s">
        <v>1177</v>
      </c>
      <c r="P10" s="54"/>
      <c r="Q10" s="54">
        <v>0.2</v>
      </c>
      <c r="R10" s="54" t="s">
        <v>1493</v>
      </c>
      <c r="S10" s="370"/>
      <c r="T10" s="370"/>
      <c r="U10" s="370"/>
      <c r="V10" s="370"/>
    </row>
    <row r="11" spans="1:22" ht="45" x14ac:dyDescent="0.25">
      <c r="A11" s="50" t="s">
        <v>469</v>
      </c>
      <c r="B11" s="51" t="s">
        <v>467</v>
      </c>
      <c r="C11" s="51" t="s">
        <v>468</v>
      </c>
      <c r="D11" s="51" t="s">
        <v>78</v>
      </c>
      <c r="E11" s="52" t="s">
        <v>1276</v>
      </c>
      <c r="F11" s="52" t="s">
        <v>453</v>
      </c>
      <c r="G11" s="51" t="s">
        <v>462</v>
      </c>
      <c r="H11" s="53" t="s">
        <v>79</v>
      </c>
      <c r="I11" s="51" t="s">
        <v>463</v>
      </c>
      <c r="J11" s="51"/>
      <c r="K11" s="52">
        <v>4</v>
      </c>
      <c r="L11" s="51"/>
      <c r="M11" s="54"/>
      <c r="N11" s="54" t="s">
        <v>1131</v>
      </c>
      <c r="O11" s="273" t="s">
        <v>1177</v>
      </c>
      <c r="P11" s="54"/>
      <c r="Q11" s="54">
        <v>0.2</v>
      </c>
      <c r="R11" s="54" t="s">
        <v>1493</v>
      </c>
      <c r="S11" s="370"/>
      <c r="T11" s="370"/>
      <c r="U11" s="370"/>
      <c r="V11" s="370"/>
    </row>
    <row r="12" spans="1:22" ht="45" x14ac:dyDescent="0.25">
      <c r="A12" s="50" t="s">
        <v>1127</v>
      </c>
      <c r="B12" s="51" t="s">
        <v>470</v>
      </c>
      <c r="C12" s="51" t="s">
        <v>471</v>
      </c>
      <c r="D12" s="51" t="s">
        <v>78</v>
      </c>
      <c r="E12" s="52" t="s">
        <v>1276</v>
      </c>
      <c r="F12" s="52" t="s">
        <v>453</v>
      </c>
      <c r="G12" s="51" t="s">
        <v>462</v>
      </c>
      <c r="H12" s="53" t="s">
        <v>79</v>
      </c>
      <c r="I12" s="51" t="s">
        <v>463</v>
      </c>
      <c r="J12" s="51"/>
      <c r="K12" s="52">
        <v>4</v>
      </c>
      <c r="L12" s="51"/>
      <c r="M12" s="54"/>
      <c r="N12" s="54" t="s">
        <v>1132</v>
      </c>
      <c r="O12" s="273" t="s">
        <v>1177</v>
      </c>
      <c r="P12" s="54"/>
      <c r="Q12" s="54">
        <v>0.2</v>
      </c>
      <c r="R12" s="54" t="s">
        <v>1493</v>
      </c>
      <c r="S12" s="370"/>
      <c r="T12" s="370"/>
      <c r="U12" s="370"/>
      <c r="V12" s="370"/>
    </row>
    <row r="13" spans="1:22" ht="90" x14ac:dyDescent="0.25">
      <c r="A13" s="25" t="s">
        <v>472</v>
      </c>
      <c r="B13" s="15" t="s">
        <v>473</v>
      </c>
      <c r="C13" s="15" t="s">
        <v>474</v>
      </c>
      <c r="D13" s="16" t="s">
        <v>78</v>
      </c>
      <c r="E13" s="16" t="s">
        <v>78</v>
      </c>
      <c r="F13" s="16" t="s">
        <v>1328</v>
      </c>
      <c r="G13" s="17" t="s">
        <v>78</v>
      </c>
      <c r="H13" s="18" t="s">
        <v>1088</v>
      </c>
      <c r="I13" s="15" t="s">
        <v>78</v>
      </c>
      <c r="J13" s="15" t="s">
        <v>1472</v>
      </c>
      <c r="K13" s="16">
        <v>5</v>
      </c>
      <c r="L13" s="15" t="s">
        <v>105</v>
      </c>
      <c r="M13" s="26" t="s">
        <v>33</v>
      </c>
      <c r="N13" s="26" t="s">
        <v>1126</v>
      </c>
      <c r="O13" s="26" t="s">
        <v>1176</v>
      </c>
      <c r="P13" s="26"/>
      <c r="Q13" s="26"/>
      <c r="R13" s="26"/>
      <c r="S13" s="367"/>
      <c r="T13" s="367"/>
      <c r="U13" s="367"/>
      <c r="V13" s="367"/>
    </row>
    <row r="14" spans="1:22" ht="90" x14ac:dyDescent="0.25">
      <c r="A14" s="25" t="s">
        <v>475</v>
      </c>
      <c r="B14" s="15" t="s">
        <v>476</v>
      </c>
      <c r="C14" s="15" t="s">
        <v>477</v>
      </c>
      <c r="D14" s="16" t="s">
        <v>78</v>
      </c>
      <c r="E14" s="16" t="s">
        <v>78</v>
      </c>
      <c r="F14" s="16" t="s">
        <v>1328</v>
      </c>
      <c r="G14" s="17" t="s">
        <v>78</v>
      </c>
      <c r="H14" s="18" t="s">
        <v>1088</v>
      </c>
      <c r="I14" s="15" t="s">
        <v>78</v>
      </c>
      <c r="J14" s="15" t="s">
        <v>1442</v>
      </c>
      <c r="K14" s="16">
        <v>5</v>
      </c>
      <c r="L14" s="15" t="s">
        <v>105</v>
      </c>
      <c r="M14" s="26" t="s">
        <v>33</v>
      </c>
      <c r="N14" s="26" t="s">
        <v>1126</v>
      </c>
      <c r="O14" s="26" t="s">
        <v>1176</v>
      </c>
      <c r="P14" s="26"/>
      <c r="Q14" s="26"/>
      <c r="R14" s="26"/>
      <c r="S14" s="367"/>
      <c r="T14" s="367"/>
      <c r="U14" s="367"/>
      <c r="V14" s="367"/>
    </row>
    <row r="15" spans="1:22" ht="90" x14ac:dyDescent="0.25">
      <c r="A15" s="25" t="s">
        <v>478</v>
      </c>
      <c r="B15" s="15" t="s">
        <v>479</v>
      </c>
      <c r="C15" s="15" t="s">
        <v>480</v>
      </c>
      <c r="D15" s="16" t="s">
        <v>78</v>
      </c>
      <c r="E15" s="16" t="s">
        <v>78</v>
      </c>
      <c r="F15" s="16" t="s">
        <v>1328</v>
      </c>
      <c r="G15" s="17" t="s">
        <v>78</v>
      </c>
      <c r="H15" s="18" t="s">
        <v>1088</v>
      </c>
      <c r="I15" s="15" t="s">
        <v>78</v>
      </c>
      <c r="J15" s="15" t="s">
        <v>1442</v>
      </c>
      <c r="K15" s="16">
        <v>5</v>
      </c>
      <c r="L15" s="15" t="s">
        <v>105</v>
      </c>
      <c r="M15" s="26" t="s">
        <v>33</v>
      </c>
      <c r="N15" s="26" t="s">
        <v>1126</v>
      </c>
      <c r="O15" s="26" t="s">
        <v>1176</v>
      </c>
      <c r="P15" s="26"/>
      <c r="Q15" s="26"/>
      <c r="R15" s="26"/>
      <c r="S15" s="367"/>
      <c r="T15" s="367"/>
      <c r="U15" s="367"/>
      <c r="V15" s="367"/>
    </row>
    <row r="16" spans="1:22" ht="120" x14ac:dyDescent="0.25">
      <c r="A16" s="25" t="s">
        <v>481</v>
      </c>
      <c r="B16" s="15" t="s">
        <v>482</v>
      </c>
      <c r="C16" s="15" t="s">
        <v>483</v>
      </c>
      <c r="D16" s="16" t="s">
        <v>78</v>
      </c>
      <c r="E16" s="16" t="s">
        <v>1276</v>
      </c>
      <c r="F16" s="19" t="s">
        <v>1339</v>
      </c>
      <c r="G16" s="17" t="s">
        <v>78</v>
      </c>
      <c r="H16" s="18" t="s">
        <v>1088</v>
      </c>
      <c r="I16" s="15" t="s">
        <v>484</v>
      </c>
      <c r="J16" s="15" t="s">
        <v>1473</v>
      </c>
      <c r="K16" s="16">
        <v>5</v>
      </c>
      <c r="L16" s="15" t="s">
        <v>1494</v>
      </c>
      <c r="M16" s="26" t="s">
        <v>33</v>
      </c>
      <c r="N16" s="26" t="s">
        <v>1126</v>
      </c>
      <c r="O16" s="26" t="s">
        <v>1495</v>
      </c>
      <c r="P16" s="26"/>
      <c r="Q16" s="26" t="s">
        <v>1494</v>
      </c>
      <c r="R16" s="26" t="s">
        <v>1663</v>
      </c>
      <c r="S16" s="367"/>
      <c r="T16" s="367"/>
      <c r="U16" s="367"/>
      <c r="V16" s="367"/>
    </row>
    <row r="17" spans="1:22" ht="90" x14ac:dyDescent="0.25">
      <c r="A17" s="25" t="s">
        <v>485</v>
      </c>
      <c r="B17" s="15" t="s">
        <v>486</v>
      </c>
      <c r="C17" s="15" t="s">
        <v>1474</v>
      </c>
      <c r="D17" s="16" t="s">
        <v>78</v>
      </c>
      <c r="E17" s="16" t="s">
        <v>78</v>
      </c>
      <c r="F17" s="16" t="s">
        <v>436</v>
      </c>
      <c r="G17" s="15" t="s">
        <v>78</v>
      </c>
      <c r="H17" s="18" t="s">
        <v>1088</v>
      </c>
      <c r="I17" s="15" t="s">
        <v>78</v>
      </c>
      <c r="J17" s="15"/>
      <c r="K17" s="16">
        <v>5</v>
      </c>
      <c r="L17" s="15" t="s">
        <v>105</v>
      </c>
      <c r="M17" s="26" t="s">
        <v>33</v>
      </c>
      <c r="N17" s="26" t="s">
        <v>1126</v>
      </c>
      <c r="O17" s="26" t="s">
        <v>1176</v>
      </c>
      <c r="P17" s="26"/>
      <c r="Q17" s="26"/>
      <c r="R17" s="26"/>
      <c r="S17" s="367"/>
      <c r="T17" s="367"/>
      <c r="U17" s="367"/>
      <c r="V17" s="367"/>
    </row>
    <row r="18" spans="1:22" ht="75" x14ac:dyDescent="0.25">
      <c r="A18" s="38" t="s">
        <v>487</v>
      </c>
      <c r="B18" s="39" t="s">
        <v>488</v>
      </c>
      <c r="C18" s="39" t="s">
        <v>489</v>
      </c>
      <c r="D18" s="39" t="s">
        <v>490</v>
      </c>
      <c r="E18" s="40" t="s">
        <v>1277</v>
      </c>
      <c r="F18" s="40" t="s">
        <v>429</v>
      </c>
      <c r="G18" s="39" t="s">
        <v>78</v>
      </c>
      <c r="H18" s="41" t="s">
        <v>79</v>
      </c>
      <c r="I18" s="39" t="s">
        <v>491</v>
      </c>
      <c r="J18" s="39"/>
      <c r="K18" s="40">
        <v>2</v>
      </c>
      <c r="L18" s="39"/>
      <c r="M18" s="42"/>
      <c r="N18" s="42" t="s">
        <v>1126</v>
      </c>
      <c r="O18" s="42" t="s">
        <v>1172</v>
      </c>
      <c r="P18" s="42"/>
      <c r="Q18" s="42">
        <v>0.125</v>
      </c>
      <c r="R18" s="42"/>
      <c r="S18" s="369"/>
      <c r="T18" s="369"/>
      <c r="U18" s="369"/>
      <c r="V18" s="369"/>
    </row>
    <row r="19" spans="1:22" ht="105" x14ac:dyDescent="0.25">
      <c r="A19" s="44" t="s">
        <v>492</v>
      </c>
      <c r="B19" s="45" t="s">
        <v>493</v>
      </c>
      <c r="C19" s="45" t="s">
        <v>494</v>
      </c>
      <c r="D19" s="45" t="s">
        <v>495</v>
      </c>
      <c r="E19" s="47" t="s">
        <v>1278</v>
      </c>
      <c r="F19" s="47" t="s">
        <v>487</v>
      </c>
      <c r="G19" s="45" t="s">
        <v>496</v>
      </c>
      <c r="H19" s="48" t="s">
        <v>79</v>
      </c>
      <c r="I19" s="45" t="s">
        <v>497</v>
      </c>
      <c r="J19" s="45" t="s">
        <v>498</v>
      </c>
      <c r="K19" s="47">
        <v>3</v>
      </c>
      <c r="L19" s="45"/>
      <c r="M19" s="49"/>
      <c r="N19" s="49" t="s">
        <v>1126</v>
      </c>
      <c r="O19" s="49" t="s">
        <v>1177</v>
      </c>
      <c r="P19" s="49"/>
      <c r="Q19" s="49">
        <v>0.5</v>
      </c>
      <c r="R19" s="49" t="s">
        <v>1491</v>
      </c>
      <c r="S19" s="368">
        <v>0</v>
      </c>
      <c r="T19" s="368">
        <v>1</v>
      </c>
      <c r="U19" s="368"/>
      <c r="V19" s="368"/>
    </row>
    <row r="20" spans="1:22" ht="105" x14ac:dyDescent="0.25">
      <c r="A20" s="44" t="s">
        <v>499</v>
      </c>
      <c r="B20" s="45" t="s">
        <v>500</v>
      </c>
      <c r="C20" s="45" t="s">
        <v>501</v>
      </c>
      <c r="D20" s="45" t="s">
        <v>502</v>
      </c>
      <c r="E20" s="47" t="s">
        <v>1279</v>
      </c>
      <c r="F20" s="47" t="s">
        <v>487</v>
      </c>
      <c r="G20" s="45" t="s">
        <v>496</v>
      </c>
      <c r="H20" s="48" t="s">
        <v>79</v>
      </c>
      <c r="I20" s="45" t="s">
        <v>503</v>
      </c>
      <c r="J20" s="45" t="s">
        <v>1664</v>
      </c>
      <c r="K20" s="47" t="s">
        <v>150</v>
      </c>
      <c r="L20" s="45"/>
      <c r="M20" s="49"/>
      <c r="N20" s="49" t="s">
        <v>1126</v>
      </c>
      <c r="O20" s="49" t="s">
        <v>1177</v>
      </c>
      <c r="P20" s="49" t="s">
        <v>1326</v>
      </c>
      <c r="Q20" s="49">
        <v>0.5</v>
      </c>
      <c r="R20" s="49" t="s">
        <v>1491</v>
      </c>
      <c r="S20" s="368">
        <v>0</v>
      </c>
      <c r="T20" s="368">
        <v>1</v>
      </c>
      <c r="U20" s="368"/>
      <c r="V20" s="368"/>
    </row>
    <row r="21" spans="1:22" ht="30" x14ac:dyDescent="0.25">
      <c r="A21" s="25" t="s">
        <v>504</v>
      </c>
      <c r="B21" s="15" t="s">
        <v>505</v>
      </c>
      <c r="C21" s="15" t="s">
        <v>506</v>
      </c>
      <c r="D21" s="16" t="s">
        <v>78</v>
      </c>
      <c r="E21" s="16" t="s">
        <v>78</v>
      </c>
      <c r="F21" s="16" t="s">
        <v>492</v>
      </c>
      <c r="G21" s="16" t="s">
        <v>78</v>
      </c>
      <c r="H21" s="18" t="s">
        <v>371</v>
      </c>
      <c r="I21" s="15" t="s">
        <v>78</v>
      </c>
      <c r="J21" s="15" t="s">
        <v>101</v>
      </c>
      <c r="K21" s="16">
        <v>5</v>
      </c>
      <c r="L21" s="15" t="s">
        <v>105</v>
      </c>
      <c r="M21" s="26"/>
      <c r="N21" s="26" t="s">
        <v>1126</v>
      </c>
      <c r="O21" s="26" t="s">
        <v>1176</v>
      </c>
      <c r="P21" s="26"/>
      <c r="Q21" s="26"/>
      <c r="R21" s="26"/>
      <c r="S21" s="367"/>
      <c r="T21" s="367"/>
      <c r="U21" s="367"/>
      <c r="V21" s="367"/>
    </row>
    <row r="22" spans="1:22" ht="30" x14ac:dyDescent="0.25">
      <c r="A22" s="25" t="s">
        <v>507</v>
      </c>
      <c r="B22" s="15" t="s">
        <v>508</v>
      </c>
      <c r="C22" s="15" t="s">
        <v>509</v>
      </c>
      <c r="D22" s="16" t="s">
        <v>78</v>
      </c>
      <c r="E22" s="16" t="s">
        <v>78</v>
      </c>
      <c r="F22" s="16" t="s">
        <v>492</v>
      </c>
      <c r="G22" s="16" t="s">
        <v>78</v>
      </c>
      <c r="H22" s="18" t="s">
        <v>371</v>
      </c>
      <c r="I22" s="15" t="s">
        <v>78</v>
      </c>
      <c r="J22" s="15"/>
      <c r="K22" s="16">
        <v>5</v>
      </c>
      <c r="L22" s="15" t="s">
        <v>105</v>
      </c>
      <c r="M22" s="26"/>
      <c r="N22" s="26" t="s">
        <v>1126</v>
      </c>
      <c r="O22" s="26" t="s">
        <v>1176</v>
      </c>
      <c r="P22" s="26"/>
      <c r="Q22" s="26"/>
      <c r="R22" s="26"/>
      <c r="S22" s="367"/>
      <c r="T22" s="367"/>
      <c r="U22" s="367"/>
      <c r="V22" s="367"/>
    </row>
    <row r="23" spans="1:22" ht="30" x14ac:dyDescent="0.25">
      <c r="A23" s="25" t="s">
        <v>510</v>
      </c>
      <c r="B23" s="15" t="s">
        <v>1608</v>
      </c>
      <c r="C23" s="15" t="s">
        <v>1385</v>
      </c>
      <c r="D23" s="16" t="s">
        <v>78</v>
      </c>
      <c r="E23" s="16" t="s">
        <v>78</v>
      </c>
      <c r="F23" s="16" t="s">
        <v>499</v>
      </c>
      <c r="G23" s="16" t="s">
        <v>78</v>
      </c>
      <c r="H23" s="18" t="s">
        <v>416</v>
      </c>
      <c r="I23" s="15" t="s">
        <v>78</v>
      </c>
      <c r="J23" s="15"/>
      <c r="K23" s="16">
        <v>5</v>
      </c>
      <c r="L23" s="15" t="s">
        <v>105</v>
      </c>
      <c r="M23" s="26"/>
      <c r="N23" s="26" t="s">
        <v>1126</v>
      </c>
      <c r="O23" s="26" t="s">
        <v>1176</v>
      </c>
      <c r="P23" s="26">
        <v>97500</v>
      </c>
      <c r="Q23" s="26"/>
      <c r="R23" s="26"/>
      <c r="S23" s="367"/>
      <c r="T23" s="367"/>
      <c r="U23" s="367"/>
      <c r="V23" s="367"/>
    </row>
    <row r="24" spans="1:22" ht="30" x14ac:dyDescent="0.25">
      <c r="A24" s="25" t="s">
        <v>511</v>
      </c>
      <c r="B24" s="15" t="s">
        <v>1327</v>
      </c>
      <c r="C24" s="15" t="s">
        <v>512</v>
      </c>
      <c r="D24" s="16" t="s">
        <v>78</v>
      </c>
      <c r="E24" s="16" t="s">
        <v>78</v>
      </c>
      <c r="F24" s="16" t="s">
        <v>499</v>
      </c>
      <c r="G24" s="16" t="s">
        <v>78</v>
      </c>
      <c r="H24" s="18" t="s">
        <v>416</v>
      </c>
      <c r="I24" s="15" t="s">
        <v>78</v>
      </c>
      <c r="J24" s="15"/>
      <c r="K24" s="16">
        <v>5</v>
      </c>
      <c r="L24" s="15" t="s">
        <v>105</v>
      </c>
      <c r="M24" s="26"/>
      <c r="N24" s="26" t="s">
        <v>1126</v>
      </c>
      <c r="O24" s="26" t="s">
        <v>1176</v>
      </c>
      <c r="P24" s="26">
        <v>150000</v>
      </c>
      <c r="Q24" s="26"/>
      <c r="R24" s="26"/>
      <c r="S24" s="367"/>
      <c r="T24" s="367"/>
      <c r="U24" s="367"/>
      <c r="V24" s="367"/>
    </row>
    <row r="25" spans="1:22" ht="105" x14ac:dyDescent="0.25">
      <c r="A25" s="38" t="s">
        <v>513</v>
      </c>
      <c r="B25" s="39" t="s">
        <v>514</v>
      </c>
      <c r="C25" s="39" t="s">
        <v>1665</v>
      </c>
      <c r="D25" s="39" t="s">
        <v>515</v>
      </c>
      <c r="E25" s="40" t="s">
        <v>1280</v>
      </c>
      <c r="F25" s="40" t="s">
        <v>429</v>
      </c>
      <c r="G25" s="39" t="s">
        <v>78</v>
      </c>
      <c r="H25" s="41" t="s">
        <v>79</v>
      </c>
      <c r="I25" s="39" t="s">
        <v>516</v>
      </c>
      <c r="J25" s="39" t="s">
        <v>330</v>
      </c>
      <c r="K25" s="40">
        <v>2</v>
      </c>
      <c r="L25" s="39"/>
      <c r="M25" s="42"/>
      <c r="N25" s="42" t="s">
        <v>1126</v>
      </c>
      <c r="O25" s="42" t="s">
        <v>1172</v>
      </c>
      <c r="P25" s="42"/>
      <c r="Q25" s="42">
        <v>0.125</v>
      </c>
      <c r="R25" s="42"/>
      <c r="S25" s="369"/>
      <c r="T25" s="369"/>
      <c r="U25" s="369"/>
      <c r="V25" s="369"/>
    </row>
    <row r="26" spans="1:22" ht="105" x14ac:dyDescent="0.25">
      <c r="A26" s="44" t="s">
        <v>517</v>
      </c>
      <c r="B26" s="45" t="s">
        <v>518</v>
      </c>
      <c r="C26" s="45" t="s">
        <v>1666</v>
      </c>
      <c r="D26" s="45" t="s">
        <v>519</v>
      </c>
      <c r="E26" s="47" t="s">
        <v>526</v>
      </c>
      <c r="F26" s="47" t="s">
        <v>513</v>
      </c>
      <c r="G26" s="45" t="s">
        <v>520</v>
      </c>
      <c r="H26" s="48" t="s">
        <v>79</v>
      </c>
      <c r="I26" s="45" t="s">
        <v>521</v>
      </c>
      <c r="J26" s="45" t="s">
        <v>1431</v>
      </c>
      <c r="K26" s="47">
        <v>3</v>
      </c>
      <c r="L26" s="45"/>
      <c r="M26" s="49"/>
      <c r="N26" s="49" t="s">
        <v>1126</v>
      </c>
      <c r="O26" s="49" t="s">
        <v>1177</v>
      </c>
      <c r="P26" s="49"/>
      <c r="Q26" s="49">
        <v>0.5</v>
      </c>
      <c r="R26" s="49" t="s">
        <v>1491</v>
      </c>
      <c r="S26" s="368">
        <v>0</v>
      </c>
      <c r="T26" s="368">
        <v>1</v>
      </c>
      <c r="U26" s="368"/>
      <c r="V26" s="368"/>
    </row>
    <row r="27" spans="1:22" ht="105" x14ac:dyDescent="0.25">
      <c r="A27" s="44" t="s">
        <v>522</v>
      </c>
      <c r="B27" s="45" t="s">
        <v>523</v>
      </c>
      <c r="C27" s="45" t="s">
        <v>1667</v>
      </c>
      <c r="D27" s="45" t="s">
        <v>524</v>
      </c>
      <c r="E27" s="47" t="s">
        <v>1281</v>
      </c>
      <c r="F27" s="47" t="s">
        <v>513</v>
      </c>
      <c r="G27" s="45" t="s">
        <v>462</v>
      </c>
      <c r="H27" s="48" t="s">
        <v>79</v>
      </c>
      <c r="I27" s="45" t="s">
        <v>525</v>
      </c>
      <c r="J27" s="45" t="s">
        <v>1668</v>
      </c>
      <c r="K27" s="47">
        <v>3</v>
      </c>
      <c r="L27" s="45"/>
      <c r="M27" s="49"/>
      <c r="N27" s="49" t="s">
        <v>1126</v>
      </c>
      <c r="O27" s="274" t="s">
        <v>1177</v>
      </c>
      <c r="P27" s="49"/>
      <c r="Q27" s="49">
        <v>0.5</v>
      </c>
      <c r="R27" s="49" t="s">
        <v>1491</v>
      </c>
      <c r="S27" s="368">
        <v>0</v>
      </c>
      <c r="T27" s="368">
        <v>1</v>
      </c>
      <c r="U27" s="368"/>
      <c r="V27" s="368"/>
    </row>
    <row r="28" spans="1:22" ht="30" x14ac:dyDescent="0.25">
      <c r="A28" s="25" t="s">
        <v>526</v>
      </c>
      <c r="B28" s="15" t="s">
        <v>527</v>
      </c>
      <c r="C28" s="15" t="s">
        <v>528</v>
      </c>
      <c r="D28" s="16" t="s">
        <v>78</v>
      </c>
      <c r="E28" s="16" t="s">
        <v>78</v>
      </c>
      <c r="F28" s="16" t="s">
        <v>517</v>
      </c>
      <c r="G28" s="16" t="s">
        <v>78</v>
      </c>
      <c r="H28" s="18" t="s">
        <v>329</v>
      </c>
      <c r="I28" s="15" t="s">
        <v>78</v>
      </c>
      <c r="J28" s="15"/>
      <c r="K28" s="16">
        <v>5</v>
      </c>
      <c r="L28" s="15" t="s">
        <v>105</v>
      </c>
      <c r="M28" s="26"/>
      <c r="N28" s="26" t="s">
        <v>1137</v>
      </c>
      <c r="O28" s="26" t="s">
        <v>1176</v>
      </c>
      <c r="P28" s="26"/>
      <c r="Q28" s="26"/>
      <c r="R28" s="26"/>
      <c r="S28" s="367"/>
      <c r="T28" s="367"/>
      <c r="U28" s="367"/>
      <c r="V28" s="367"/>
    </row>
    <row r="29" spans="1:22" ht="30" x14ac:dyDescent="0.25">
      <c r="A29" s="25" t="s">
        <v>529</v>
      </c>
      <c r="B29" s="15" t="s">
        <v>530</v>
      </c>
      <c r="C29" s="15" t="s">
        <v>531</v>
      </c>
      <c r="D29" s="16" t="s">
        <v>78</v>
      </c>
      <c r="E29" s="16" t="s">
        <v>78</v>
      </c>
      <c r="F29" s="16" t="s">
        <v>522</v>
      </c>
      <c r="G29" s="16" t="s">
        <v>78</v>
      </c>
      <c r="H29" s="18" t="s">
        <v>329</v>
      </c>
      <c r="I29" s="15" t="s">
        <v>78</v>
      </c>
      <c r="J29" s="15"/>
      <c r="K29" s="16">
        <v>5</v>
      </c>
      <c r="L29" s="15" t="s">
        <v>105</v>
      </c>
      <c r="M29" s="26"/>
      <c r="N29" s="26" t="s">
        <v>1135</v>
      </c>
      <c r="O29" s="26" t="s">
        <v>1176</v>
      </c>
      <c r="P29" s="26"/>
      <c r="Q29" s="26">
        <v>0.5</v>
      </c>
      <c r="R29" s="26"/>
      <c r="S29" s="367"/>
      <c r="T29" s="367"/>
      <c r="U29" s="367"/>
      <c r="V29" s="367"/>
    </row>
    <row r="30" spans="1:22" ht="30" x14ac:dyDescent="0.25">
      <c r="A30" s="25" t="s">
        <v>532</v>
      </c>
      <c r="B30" s="15" t="s">
        <v>533</v>
      </c>
      <c r="C30" s="15" t="s">
        <v>534</v>
      </c>
      <c r="D30" s="16" t="s">
        <v>78</v>
      </c>
      <c r="E30" s="16" t="s">
        <v>78</v>
      </c>
      <c r="F30" s="16" t="s">
        <v>522</v>
      </c>
      <c r="G30" s="16" t="s">
        <v>78</v>
      </c>
      <c r="H30" s="18" t="s">
        <v>329</v>
      </c>
      <c r="I30" s="15" t="s">
        <v>78</v>
      </c>
      <c r="J30" s="15"/>
      <c r="K30" s="16">
        <v>5</v>
      </c>
      <c r="L30" s="15" t="s">
        <v>105</v>
      </c>
      <c r="M30" s="26"/>
      <c r="N30" s="26" t="s">
        <v>1136</v>
      </c>
      <c r="O30" s="26" t="s">
        <v>1176</v>
      </c>
      <c r="P30" s="26"/>
      <c r="Q30" s="26">
        <v>0.5</v>
      </c>
      <c r="R30" s="26"/>
      <c r="S30" s="367"/>
      <c r="T30" s="367"/>
      <c r="U30" s="367"/>
      <c r="V30" s="367"/>
    </row>
    <row r="31" spans="1:22" ht="88.5" customHeight="1" x14ac:dyDescent="0.25">
      <c r="A31" s="38" t="s">
        <v>535</v>
      </c>
      <c r="B31" s="39" t="s">
        <v>536</v>
      </c>
      <c r="C31" s="39" t="s">
        <v>1669</v>
      </c>
      <c r="D31" s="39" t="s">
        <v>537</v>
      </c>
      <c r="E31" s="40" t="s">
        <v>1496</v>
      </c>
      <c r="F31" s="40" t="s">
        <v>429</v>
      </c>
      <c r="G31" s="39" t="s">
        <v>78</v>
      </c>
      <c r="H31" s="41" t="s">
        <v>79</v>
      </c>
      <c r="I31" s="39" t="s">
        <v>1670</v>
      </c>
      <c r="J31" s="39" t="s">
        <v>1497</v>
      </c>
      <c r="K31" s="40">
        <v>2</v>
      </c>
      <c r="L31" s="39"/>
      <c r="M31" s="42"/>
      <c r="N31" s="42" t="s">
        <v>1126</v>
      </c>
      <c r="O31" s="42" t="s">
        <v>1172</v>
      </c>
      <c r="P31" s="42"/>
      <c r="Q31" s="42">
        <v>0.125</v>
      </c>
      <c r="R31" s="42"/>
      <c r="S31" s="369"/>
      <c r="T31" s="369"/>
      <c r="U31" s="369"/>
      <c r="V31" s="369"/>
    </row>
    <row r="32" spans="1:22" ht="60" x14ac:dyDescent="0.25">
      <c r="A32" s="44" t="s">
        <v>538</v>
      </c>
      <c r="B32" s="45" t="s">
        <v>539</v>
      </c>
      <c r="C32" s="45" t="s">
        <v>1459</v>
      </c>
      <c r="D32" s="45" t="s">
        <v>540</v>
      </c>
      <c r="E32" s="47" t="s">
        <v>1460</v>
      </c>
      <c r="F32" s="47" t="s">
        <v>535</v>
      </c>
      <c r="G32" s="45" t="s">
        <v>462</v>
      </c>
      <c r="H32" s="48" t="s">
        <v>79</v>
      </c>
      <c r="I32" s="45" t="s">
        <v>1458</v>
      </c>
      <c r="J32" s="45"/>
      <c r="K32" s="47">
        <v>3</v>
      </c>
      <c r="L32" s="45"/>
      <c r="M32" s="49"/>
      <c r="N32" s="49" t="s">
        <v>1126</v>
      </c>
      <c r="O32" s="49" t="s">
        <v>1177</v>
      </c>
      <c r="P32" s="49"/>
      <c r="Q32" s="49">
        <v>0.33329999999999999</v>
      </c>
      <c r="R32" s="49"/>
      <c r="S32" s="368"/>
      <c r="T32" s="368"/>
      <c r="U32" s="368"/>
      <c r="V32" s="368"/>
    </row>
    <row r="33" spans="1:22" ht="105" x14ac:dyDescent="0.25">
      <c r="A33" s="44" t="s">
        <v>541</v>
      </c>
      <c r="B33" s="45" t="s">
        <v>542</v>
      </c>
      <c r="C33" s="45" t="s">
        <v>543</v>
      </c>
      <c r="D33" s="45" t="s">
        <v>544</v>
      </c>
      <c r="E33" s="47" t="s">
        <v>571</v>
      </c>
      <c r="F33" s="47" t="s">
        <v>535</v>
      </c>
      <c r="G33" s="45" t="s">
        <v>450</v>
      </c>
      <c r="H33" s="48" t="s">
        <v>79</v>
      </c>
      <c r="I33" s="45" t="s">
        <v>545</v>
      </c>
      <c r="J33" s="45"/>
      <c r="K33" s="47">
        <v>3</v>
      </c>
      <c r="L33" s="45"/>
      <c r="M33" s="49"/>
      <c r="N33" s="49" t="s">
        <v>1126</v>
      </c>
      <c r="O33" s="49" t="s">
        <v>1177</v>
      </c>
      <c r="P33" s="49"/>
      <c r="Q33" s="49">
        <v>0.33329999999999999</v>
      </c>
      <c r="R33" s="49" t="s">
        <v>1491</v>
      </c>
      <c r="S33" s="368">
        <v>0</v>
      </c>
      <c r="T33" s="368">
        <v>1</v>
      </c>
      <c r="U33" s="368"/>
      <c r="V33" s="368"/>
    </row>
    <row r="34" spans="1:22" ht="405" x14ac:dyDescent="0.25">
      <c r="A34" s="44" t="s">
        <v>546</v>
      </c>
      <c r="B34" s="45" t="s">
        <v>1498</v>
      </c>
      <c r="C34" s="45" t="s">
        <v>1499</v>
      </c>
      <c r="D34" s="45" t="s">
        <v>1500</v>
      </c>
      <c r="E34" s="47" t="s">
        <v>1282</v>
      </c>
      <c r="F34" s="47" t="s">
        <v>535</v>
      </c>
      <c r="G34" s="45" t="s">
        <v>462</v>
      </c>
      <c r="H34" s="48" t="s">
        <v>79</v>
      </c>
      <c r="I34" s="45" t="s">
        <v>1501</v>
      </c>
      <c r="J34" s="45"/>
      <c r="K34" s="47">
        <v>3</v>
      </c>
      <c r="L34" s="45"/>
      <c r="M34" s="49"/>
      <c r="N34" s="49" t="s">
        <v>1126</v>
      </c>
      <c r="O34" s="49" t="s">
        <v>1177</v>
      </c>
      <c r="P34" s="49"/>
      <c r="Q34" s="49">
        <v>0.33339999999999997</v>
      </c>
      <c r="R34" s="49" t="s">
        <v>1502</v>
      </c>
      <c r="S34" s="368">
        <v>0</v>
      </c>
      <c r="T34" s="368">
        <v>1</v>
      </c>
      <c r="U34" s="368"/>
      <c r="V34" s="368"/>
    </row>
    <row r="35" spans="1:22" ht="105" x14ac:dyDescent="0.25">
      <c r="A35" s="44" t="s">
        <v>547</v>
      </c>
      <c r="B35" s="45" t="s">
        <v>548</v>
      </c>
      <c r="C35" s="45" t="s">
        <v>1671</v>
      </c>
      <c r="D35" s="45" t="s">
        <v>549</v>
      </c>
      <c r="E35" s="47" t="s">
        <v>1283</v>
      </c>
      <c r="F35" s="47" t="s">
        <v>78</v>
      </c>
      <c r="G35" s="45" t="s">
        <v>78</v>
      </c>
      <c r="H35" s="48" t="s">
        <v>79</v>
      </c>
      <c r="I35" s="45" t="s">
        <v>550</v>
      </c>
      <c r="J35" s="45"/>
      <c r="K35" s="47">
        <v>3</v>
      </c>
      <c r="L35" s="45"/>
      <c r="M35" s="49"/>
      <c r="N35" s="49" t="s">
        <v>1126</v>
      </c>
      <c r="O35" s="274" t="s">
        <v>1172</v>
      </c>
      <c r="P35" s="49"/>
      <c r="Q35" s="49">
        <v>0.25</v>
      </c>
      <c r="R35" s="49" t="s">
        <v>1493</v>
      </c>
      <c r="S35" s="368"/>
      <c r="T35" s="368"/>
      <c r="U35" s="368"/>
      <c r="V35" s="368"/>
    </row>
    <row r="36" spans="1:22" ht="45" x14ac:dyDescent="0.25">
      <c r="A36" s="50" t="s">
        <v>551</v>
      </c>
      <c r="B36" s="51" t="s">
        <v>552</v>
      </c>
      <c r="C36" s="51" t="s">
        <v>553</v>
      </c>
      <c r="D36" s="51" t="s">
        <v>78</v>
      </c>
      <c r="E36" s="52" t="s">
        <v>1284</v>
      </c>
      <c r="F36" s="52" t="s">
        <v>547</v>
      </c>
      <c r="G36" s="51" t="s">
        <v>462</v>
      </c>
      <c r="H36" s="53" t="s">
        <v>79</v>
      </c>
      <c r="I36" s="51" t="s">
        <v>463</v>
      </c>
      <c r="J36" s="51"/>
      <c r="K36" s="52">
        <v>4</v>
      </c>
      <c r="L36" s="51"/>
      <c r="M36" s="54"/>
      <c r="N36" s="54" t="s">
        <v>1129</v>
      </c>
      <c r="O36" s="273" t="s">
        <v>1177</v>
      </c>
      <c r="P36" s="54"/>
      <c r="Q36" s="54">
        <v>0.2</v>
      </c>
      <c r="R36" s="54" t="s">
        <v>1493</v>
      </c>
      <c r="S36" s="370"/>
      <c r="T36" s="370"/>
      <c r="U36" s="370"/>
      <c r="V36" s="370"/>
    </row>
    <row r="37" spans="1:22" ht="45" x14ac:dyDescent="0.25">
      <c r="A37" s="50" t="s">
        <v>554</v>
      </c>
      <c r="B37" s="51" t="s">
        <v>555</v>
      </c>
      <c r="C37" s="51" t="s">
        <v>1466</v>
      </c>
      <c r="D37" s="51" t="s">
        <v>78</v>
      </c>
      <c r="E37" s="52" t="s">
        <v>1284</v>
      </c>
      <c r="F37" s="52" t="s">
        <v>547</v>
      </c>
      <c r="G37" s="51" t="s">
        <v>462</v>
      </c>
      <c r="H37" s="53" t="s">
        <v>79</v>
      </c>
      <c r="I37" s="51" t="s">
        <v>463</v>
      </c>
      <c r="J37" s="51"/>
      <c r="K37" s="52">
        <v>4</v>
      </c>
      <c r="L37" s="51"/>
      <c r="M37" s="54"/>
      <c r="N37" s="54" t="s">
        <v>1130</v>
      </c>
      <c r="O37" s="273" t="s">
        <v>1177</v>
      </c>
      <c r="P37" s="54"/>
      <c r="Q37" s="54">
        <v>0.2</v>
      </c>
      <c r="R37" s="54" t="s">
        <v>1493</v>
      </c>
      <c r="S37" s="370"/>
      <c r="T37" s="370"/>
      <c r="U37" s="370"/>
      <c r="V37" s="370"/>
    </row>
    <row r="38" spans="1:22" ht="45" x14ac:dyDescent="0.25">
      <c r="A38" s="50" t="s">
        <v>556</v>
      </c>
      <c r="B38" s="51" t="s">
        <v>1139</v>
      </c>
      <c r="C38" s="51" t="s">
        <v>1465</v>
      </c>
      <c r="D38" s="51" t="s">
        <v>78</v>
      </c>
      <c r="E38" s="52" t="s">
        <v>1284</v>
      </c>
      <c r="F38" s="52" t="s">
        <v>547</v>
      </c>
      <c r="G38" s="51" t="s">
        <v>462</v>
      </c>
      <c r="H38" s="53" t="s">
        <v>79</v>
      </c>
      <c r="I38" s="51" t="s">
        <v>463</v>
      </c>
      <c r="J38" s="51"/>
      <c r="K38" s="52">
        <v>4</v>
      </c>
      <c r="L38" s="51"/>
      <c r="M38" s="54"/>
      <c r="N38" s="54" t="s">
        <v>1134</v>
      </c>
      <c r="O38" s="273" t="s">
        <v>1177</v>
      </c>
      <c r="P38" s="54"/>
      <c r="Q38" s="54">
        <v>0.2</v>
      </c>
      <c r="R38" s="54" t="s">
        <v>1493</v>
      </c>
      <c r="S38" s="370"/>
      <c r="T38" s="370"/>
      <c r="U38" s="370"/>
      <c r="V38" s="370"/>
    </row>
    <row r="39" spans="1:22" ht="45" x14ac:dyDescent="0.25">
      <c r="A39" s="50" t="s">
        <v>559</v>
      </c>
      <c r="B39" s="51" t="s">
        <v>557</v>
      </c>
      <c r="C39" s="51" t="s">
        <v>558</v>
      </c>
      <c r="D39" s="51" t="s">
        <v>78</v>
      </c>
      <c r="E39" s="52" t="s">
        <v>1284</v>
      </c>
      <c r="F39" s="52" t="s">
        <v>547</v>
      </c>
      <c r="G39" s="51" t="s">
        <v>462</v>
      </c>
      <c r="H39" s="53" t="s">
        <v>79</v>
      </c>
      <c r="I39" s="51" t="s">
        <v>463</v>
      </c>
      <c r="J39" s="51"/>
      <c r="K39" s="52">
        <v>4</v>
      </c>
      <c r="L39" s="51"/>
      <c r="M39" s="54"/>
      <c r="N39" s="54" t="s">
        <v>1131</v>
      </c>
      <c r="O39" s="273" t="s">
        <v>1177</v>
      </c>
      <c r="P39" s="54"/>
      <c r="Q39" s="54">
        <v>0.2</v>
      </c>
      <c r="R39" s="54" t="s">
        <v>1493</v>
      </c>
      <c r="S39" s="370"/>
      <c r="T39" s="370"/>
      <c r="U39" s="370"/>
      <c r="V39" s="370"/>
    </row>
    <row r="40" spans="1:22" ht="45" x14ac:dyDescent="0.25">
      <c r="A40" s="50" t="s">
        <v>1138</v>
      </c>
      <c r="B40" s="51" t="s">
        <v>560</v>
      </c>
      <c r="C40" s="51" t="s">
        <v>561</v>
      </c>
      <c r="D40" s="51" t="s">
        <v>78</v>
      </c>
      <c r="E40" s="52" t="s">
        <v>1284</v>
      </c>
      <c r="F40" s="52" t="s">
        <v>547</v>
      </c>
      <c r="G40" s="51" t="s">
        <v>462</v>
      </c>
      <c r="H40" s="53" t="s">
        <v>79</v>
      </c>
      <c r="I40" s="51" t="s">
        <v>463</v>
      </c>
      <c r="J40" s="51"/>
      <c r="K40" s="52">
        <v>4</v>
      </c>
      <c r="L40" s="51"/>
      <c r="M40" s="54"/>
      <c r="N40" s="54" t="s">
        <v>1132</v>
      </c>
      <c r="O40" s="273" t="s">
        <v>1177</v>
      </c>
      <c r="P40" s="54"/>
      <c r="Q40" s="54">
        <v>0.2</v>
      </c>
      <c r="R40" s="54" t="s">
        <v>1493</v>
      </c>
      <c r="S40" s="370"/>
      <c r="T40" s="370"/>
      <c r="U40" s="370"/>
      <c r="V40" s="370"/>
    </row>
    <row r="41" spans="1:22" ht="105" x14ac:dyDescent="0.25">
      <c r="A41" s="25" t="s">
        <v>562</v>
      </c>
      <c r="B41" s="15" t="s">
        <v>563</v>
      </c>
      <c r="C41" s="15" t="s">
        <v>564</v>
      </c>
      <c r="D41" s="16" t="s">
        <v>78</v>
      </c>
      <c r="E41" s="16" t="s">
        <v>78</v>
      </c>
      <c r="F41" s="16" t="s">
        <v>1503</v>
      </c>
      <c r="G41" s="15" t="s">
        <v>78</v>
      </c>
      <c r="H41" s="18" t="s">
        <v>416</v>
      </c>
      <c r="I41" s="15" t="s">
        <v>78</v>
      </c>
      <c r="J41" s="15" t="s">
        <v>565</v>
      </c>
      <c r="K41" s="16">
        <v>5</v>
      </c>
      <c r="L41" s="15" t="s">
        <v>105</v>
      </c>
      <c r="M41" s="26"/>
      <c r="N41" s="26" t="s">
        <v>1126</v>
      </c>
      <c r="O41" s="26" t="s">
        <v>1176</v>
      </c>
      <c r="P41" s="26"/>
      <c r="Q41" s="26"/>
      <c r="R41" s="26"/>
      <c r="S41" s="367"/>
      <c r="T41" s="367"/>
      <c r="U41" s="367"/>
      <c r="V41" s="367"/>
    </row>
    <row r="42" spans="1:22" ht="90" x14ac:dyDescent="0.25">
      <c r="A42" s="25" t="s">
        <v>566</v>
      </c>
      <c r="B42" s="15" t="s">
        <v>567</v>
      </c>
      <c r="C42" s="15" t="s">
        <v>568</v>
      </c>
      <c r="D42" s="16" t="s">
        <v>78</v>
      </c>
      <c r="E42" s="16" t="s">
        <v>78</v>
      </c>
      <c r="F42" s="16" t="s">
        <v>1504</v>
      </c>
      <c r="G42" s="15" t="s">
        <v>78</v>
      </c>
      <c r="H42" s="18" t="s">
        <v>416</v>
      </c>
      <c r="I42" s="15" t="s">
        <v>78</v>
      </c>
      <c r="J42" s="15" t="s">
        <v>565</v>
      </c>
      <c r="K42" s="16">
        <v>5</v>
      </c>
      <c r="L42" s="15" t="s">
        <v>105</v>
      </c>
      <c r="M42" s="26"/>
      <c r="N42" s="26" t="s">
        <v>1126</v>
      </c>
      <c r="O42" s="26" t="s">
        <v>1176</v>
      </c>
      <c r="P42" s="26"/>
      <c r="Q42" s="26"/>
      <c r="R42" s="26"/>
      <c r="S42" s="367"/>
      <c r="T42" s="367"/>
      <c r="U42" s="367"/>
      <c r="V42" s="367"/>
    </row>
    <row r="43" spans="1:22" ht="90" x14ac:dyDescent="0.25">
      <c r="A43" s="25" t="s">
        <v>569</v>
      </c>
      <c r="B43" s="15" t="s">
        <v>1340</v>
      </c>
      <c r="C43" s="15" t="s">
        <v>570</v>
      </c>
      <c r="D43" s="16" t="s">
        <v>78</v>
      </c>
      <c r="E43" s="16" t="s">
        <v>78</v>
      </c>
      <c r="F43" s="16" t="s">
        <v>1504</v>
      </c>
      <c r="G43" s="15" t="s">
        <v>78</v>
      </c>
      <c r="H43" s="18" t="s">
        <v>416</v>
      </c>
      <c r="I43" s="15" t="s">
        <v>78</v>
      </c>
      <c r="J43" s="15" t="s">
        <v>565</v>
      </c>
      <c r="K43" s="16">
        <v>5</v>
      </c>
      <c r="L43" s="15" t="s">
        <v>105</v>
      </c>
      <c r="M43" s="26"/>
      <c r="N43" s="26" t="s">
        <v>1126</v>
      </c>
      <c r="O43" s="26" t="s">
        <v>1176</v>
      </c>
      <c r="P43" s="26"/>
      <c r="Q43" s="26"/>
      <c r="R43" s="26"/>
      <c r="S43" s="367"/>
      <c r="T43" s="367"/>
      <c r="U43" s="367"/>
      <c r="V43" s="367"/>
    </row>
    <row r="44" spans="1:22" ht="45" x14ac:dyDescent="0.25">
      <c r="A44" s="25" t="s">
        <v>571</v>
      </c>
      <c r="B44" s="15" t="s">
        <v>572</v>
      </c>
      <c r="C44" s="15" t="s">
        <v>573</v>
      </c>
      <c r="D44" s="16" t="s">
        <v>78</v>
      </c>
      <c r="E44" s="16" t="s">
        <v>1284</v>
      </c>
      <c r="F44" s="16" t="s">
        <v>1496</v>
      </c>
      <c r="G44" s="15" t="s">
        <v>78</v>
      </c>
      <c r="H44" s="18" t="s">
        <v>416</v>
      </c>
      <c r="I44" s="15" t="s">
        <v>1341</v>
      </c>
      <c r="J44" s="15"/>
      <c r="K44" s="16">
        <v>5</v>
      </c>
      <c r="L44" s="15" t="s">
        <v>1494</v>
      </c>
      <c r="M44" s="26"/>
      <c r="N44" s="26" t="s">
        <v>1126</v>
      </c>
      <c r="O44" s="26" t="s">
        <v>1495</v>
      </c>
      <c r="P44" s="26"/>
      <c r="Q44" s="26"/>
      <c r="R44" s="26"/>
      <c r="S44" s="367"/>
      <c r="T44" s="367"/>
      <c r="U44" s="367"/>
      <c r="V44" s="367"/>
    </row>
    <row r="45" spans="1:22" ht="60" x14ac:dyDescent="0.25">
      <c r="A45" s="38" t="s">
        <v>574</v>
      </c>
      <c r="B45" s="39" t="s">
        <v>575</v>
      </c>
      <c r="C45" s="39" t="s">
        <v>576</v>
      </c>
      <c r="D45" s="39" t="s">
        <v>577</v>
      </c>
      <c r="E45" s="40" t="s">
        <v>1285</v>
      </c>
      <c r="F45" s="40" t="s">
        <v>1488</v>
      </c>
      <c r="G45" s="39" t="s">
        <v>496</v>
      </c>
      <c r="H45" s="41" t="s">
        <v>79</v>
      </c>
      <c r="I45" s="39" t="s">
        <v>578</v>
      </c>
      <c r="J45" s="39" t="s">
        <v>1432</v>
      </c>
      <c r="K45" s="40">
        <v>2</v>
      </c>
      <c r="L45" s="39"/>
      <c r="M45" s="42"/>
      <c r="N45" s="42" t="s">
        <v>1135</v>
      </c>
      <c r="O45" s="275" t="s">
        <v>1177</v>
      </c>
      <c r="P45" s="42"/>
      <c r="Q45" s="42">
        <v>0.125</v>
      </c>
      <c r="R45" s="43"/>
      <c r="S45" s="369"/>
      <c r="T45" s="369"/>
      <c r="U45" s="369"/>
      <c r="V45" s="369"/>
    </row>
    <row r="46" spans="1:22" ht="45" x14ac:dyDescent="0.25">
      <c r="A46" s="25" t="s">
        <v>580</v>
      </c>
      <c r="B46" s="15" t="s">
        <v>581</v>
      </c>
      <c r="C46" s="15" t="s">
        <v>582</v>
      </c>
      <c r="D46" s="16" t="s">
        <v>78</v>
      </c>
      <c r="E46" s="16" t="s">
        <v>78</v>
      </c>
      <c r="F46" s="16" t="s">
        <v>574</v>
      </c>
      <c r="G46" s="15" t="s">
        <v>78</v>
      </c>
      <c r="H46" s="18" t="s">
        <v>583</v>
      </c>
      <c r="I46" s="15" t="s">
        <v>78</v>
      </c>
      <c r="J46" s="15" t="s">
        <v>579</v>
      </c>
      <c r="K46" s="16">
        <v>5</v>
      </c>
      <c r="L46" s="15" t="s">
        <v>105</v>
      </c>
      <c r="M46" s="26"/>
      <c r="N46" s="26" t="s">
        <v>1135</v>
      </c>
      <c r="O46" s="26" t="s">
        <v>1176</v>
      </c>
      <c r="P46" s="26"/>
      <c r="Q46" s="26"/>
      <c r="R46" s="26"/>
      <c r="S46" s="367"/>
      <c r="T46" s="367"/>
      <c r="U46" s="367"/>
      <c r="V46" s="367"/>
    </row>
    <row r="47" spans="1:22" ht="90" x14ac:dyDescent="0.25">
      <c r="A47" s="27" t="s">
        <v>584</v>
      </c>
      <c r="B47" s="28" t="s">
        <v>585</v>
      </c>
      <c r="C47" s="28" t="s">
        <v>586</v>
      </c>
      <c r="D47" s="29" t="s">
        <v>78</v>
      </c>
      <c r="E47" s="29" t="s">
        <v>78</v>
      </c>
      <c r="F47" s="29" t="s">
        <v>574</v>
      </c>
      <c r="G47" s="28" t="s">
        <v>78</v>
      </c>
      <c r="H47" s="30" t="s">
        <v>587</v>
      </c>
      <c r="I47" s="28" t="s">
        <v>78</v>
      </c>
      <c r="J47" s="28" t="s">
        <v>1609</v>
      </c>
      <c r="K47" s="29">
        <v>5</v>
      </c>
      <c r="L47" s="28" t="s">
        <v>105</v>
      </c>
      <c r="M47" s="31" t="s">
        <v>33</v>
      </c>
      <c r="N47" s="31" t="s">
        <v>1135</v>
      </c>
      <c r="O47" s="31" t="s">
        <v>1176</v>
      </c>
      <c r="P47" s="31"/>
      <c r="Q47" s="31">
        <v>0.5</v>
      </c>
      <c r="R47" s="31" t="s">
        <v>1610</v>
      </c>
      <c r="S47" s="367"/>
      <c r="T47" s="367"/>
      <c r="U47" s="367"/>
      <c r="V47" s="367"/>
    </row>
    <row r="48" spans="1:22" ht="150" x14ac:dyDescent="0.25">
      <c r="A48" s="38" t="s">
        <v>960</v>
      </c>
      <c r="B48" s="39" t="s">
        <v>961</v>
      </c>
      <c r="C48" s="39" t="s">
        <v>1027</v>
      </c>
      <c r="D48" s="39" t="s">
        <v>1672</v>
      </c>
      <c r="E48" s="40" t="s">
        <v>1286</v>
      </c>
      <c r="F48" s="40" t="s">
        <v>1488</v>
      </c>
      <c r="G48" s="39" t="s">
        <v>462</v>
      </c>
      <c r="H48" s="41" t="s">
        <v>79</v>
      </c>
      <c r="I48" s="39" t="s">
        <v>1673</v>
      </c>
      <c r="J48" s="39" t="s">
        <v>1030</v>
      </c>
      <c r="K48" s="40">
        <v>2</v>
      </c>
      <c r="L48" s="39"/>
      <c r="M48" s="42"/>
      <c r="N48" s="42" t="s">
        <v>1135</v>
      </c>
      <c r="O48" s="42" t="s">
        <v>1172</v>
      </c>
      <c r="P48" s="42"/>
      <c r="Q48" s="42">
        <v>0.125</v>
      </c>
      <c r="R48" s="245" t="s">
        <v>1674</v>
      </c>
      <c r="S48" s="369"/>
      <c r="T48" s="369"/>
      <c r="U48" s="369"/>
      <c r="V48" s="369"/>
    </row>
    <row r="49" spans="1:22" ht="60" x14ac:dyDescent="0.25">
      <c r="A49" s="25" t="s">
        <v>962</v>
      </c>
      <c r="B49" s="15" t="s">
        <v>970</v>
      </c>
      <c r="C49" s="15" t="s">
        <v>983</v>
      </c>
      <c r="D49" s="15" t="s">
        <v>78</v>
      </c>
      <c r="E49" s="16" t="s">
        <v>78</v>
      </c>
      <c r="F49" s="16" t="s">
        <v>960</v>
      </c>
      <c r="G49" s="15" t="s">
        <v>78</v>
      </c>
      <c r="H49" s="18" t="s">
        <v>977</v>
      </c>
      <c r="I49" s="15" t="s">
        <v>984</v>
      </c>
      <c r="J49" s="15" t="s">
        <v>1611</v>
      </c>
      <c r="K49" s="16">
        <v>5</v>
      </c>
      <c r="L49" s="15" t="s">
        <v>105</v>
      </c>
      <c r="M49" s="15" t="s">
        <v>33</v>
      </c>
      <c r="N49" s="15" t="s">
        <v>1144</v>
      </c>
      <c r="O49" s="26" t="s">
        <v>1177</v>
      </c>
      <c r="P49" s="26"/>
      <c r="Q49" s="26">
        <v>0.125</v>
      </c>
      <c r="R49" s="246" t="s">
        <v>1612</v>
      </c>
      <c r="S49" s="367"/>
      <c r="T49" s="367"/>
      <c r="U49" s="367"/>
      <c r="V49" s="367"/>
    </row>
    <row r="50" spans="1:22" ht="60" x14ac:dyDescent="0.25">
      <c r="A50" s="25" t="s">
        <v>963</v>
      </c>
      <c r="B50" s="15" t="s">
        <v>971</v>
      </c>
      <c r="C50" s="15" t="s">
        <v>990</v>
      </c>
      <c r="D50" s="15" t="s">
        <v>78</v>
      </c>
      <c r="E50" s="16" t="s">
        <v>78</v>
      </c>
      <c r="F50" s="16" t="s">
        <v>960</v>
      </c>
      <c r="G50" s="15" t="s">
        <v>78</v>
      </c>
      <c r="H50" s="18" t="s">
        <v>1062</v>
      </c>
      <c r="I50" s="15" t="s">
        <v>1613</v>
      </c>
      <c r="J50" s="15" t="s">
        <v>1030</v>
      </c>
      <c r="K50" s="16">
        <v>5</v>
      </c>
      <c r="L50" s="15" t="s">
        <v>105</v>
      </c>
      <c r="M50" s="15" t="s">
        <v>33</v>
      </c>
      <c r="N50" s="15" t="s">
        <v>1126</v>
      </c>
      <c r="O50" s="26" t="s">
        <v>1177</v>
      </c>
      <c r="P50" s="26"/>
      <c r="Q50" s="26">
        <v>0.125</v>
      </c>
      <c r="R50" s="246" t="s">
        <v>1612</v>
      </c>
      <c r="S50" s="367" t="s">
        <v>1143</v>
      </c>
      <c r="T50" s="367"/>
      <c r="U50" s="367"/>
      <c r="V50" s="367"/>
    </row>
    <row r="51" spans="1:22" ht="120" x14ac:dyDescent="0.25">
      <c r="A51" s="25" t="s">
        <v>964</v>
      </c>
      <c r="B51" s="15" t="s">
        <v>972</v>
      </c>
      <c r="C51" s="15" t="s">
        <v>996</v>
      </c>
      <c r="D51" s="15" t="s">
        <v>78</v>
      </c>
      <c r="E51" s="16" t="s">
        <v>78</v>
      </c>
      <c r="F51" s="16" t="s">
        <v>960</v>
      </c>
      <c r="G51" s="15" t="s">
        <v>78</v>
      </c>
      <c r="H51" s="18" t="s">
        <v>978</v>
      </c>
      <c r="I51" s="15" t="s">
        <v>997</v>
      </c>
      <c r="J51" s="15" t="s">
        <v>1614</v>
      </c>
      <c r="K51" s="16">
        <v>5</v>
      </c>
      <c r="L51" s="15" t="s">
        <v>105</v>
      </c>
      <c r="M51" s="15" t="s">
        <v>33</v>
      </c>
      <c r="N51" s="15" t="s">
        <v>1126</v>
      </c>
      <c r="O51" s="26" t="s">
        <v>1177</v>
      </c>
      <c r="P51" s="26"/>
      <c r="Q51" s="26">
        <v>0.125</v>
      </c>
      <c r="R51" s="246" t="s">
        <v>1612</v>
      </c>
      <c r="S51" s="367"/>
      <c r="T51" s="367"/>
      <c r="U51" s="367"/>
      <c r="V51" s="367"/>
    </row>
    <row r="52" spans="1:22" ht="120" x14ac:dyDescent="0.25">
      <c r="A52" s="25" t="s">
        <v>965</v>
      </c>
      <c r="B52" s="15" t="s">
        <v>973</v>
      </c>
      <c r="C52" s="15" t="s">
        <v>1615</v>
      </c>
      <c r="D52" s="15" t="s">
        <v>78</v>
      </c>
      <c r="E52" s="16" t="s">
        <v>78</v>
      </c>
      <c r="F52" s="16" t="s">
        <v>960</v>
      </c>
      <c r="G52" s="15" t="s">
        <v>78</v>
      </c>
      <c r="H52" s="18" t="s">
        <v>979</v>
      </c>
      <c r="I52" s="15" t="s">
        <v>1002</v>
      </c>
      <c r="J52" s="15" t="s">
        <v>1616</v>
      </c>
      <c r="K52" s="16">
        <v>5</v>
      </c>
      <c r="L52" s="15" t="s">
        <v>105</v>
      </c>
      <c r="M52" s="15" t="s">
        <v>33</v>
      </c>
      <c r="N52" s="15" t="s">
        <v>1135</v>
      </c>
      <c r="O52" s="26" t="s">
        <v>1177</v>
      </c>
      <c r="P52" s="26"/>
      <c r="Q52" s="26">
        <v>0.125</v>
      </c>
      <c r="R52" s="246" t="s">
        <v>1612</v>
      </c>
      <c r="S52" s="367"/>
      <c r="T52" s="367"/>
      <c r="U52" s="367"/>
      <c r="V52" s="367"/>
    </row>
    <row r="53" spans="1:22" ht="75" x14ac:dyDescent="0.25">
      <c r="A53" s="25" t="s">
        <v>966</v>
      </c>
      <c r="B53" s="15" t="s">
        <v>974</v>
      </c>
      <c r="C53" s="15" t="s">
        <v>1004</v>
      </c>
      <c r="D53" s="15" t="s">
        <v>78</v>
      </c>
      <c r="E53" s="16" t="s">
        <v>78</v>
      </c>
      <c r="F53" s="16" t="s">
        <v>960</v>
      </c>
      <c r="G53" s="15" t="s">
        <v>78</v>
      </c>
      <c r="H53" s="18" t="s">
        <v>980</v>
      </c>
      <c r="I53" s="15" t="s">
        <v>1003</v>
      </c>
      <c r="J53" s="15" t="s">
        <v>1617</v>
      </c>
      <c r="K53" s="16">
        <v>5</v>
      </c>
      <c r="L53" s="15" t="s">
        <v>105</v>
      </c>
      <c r="M53" s="15" t="s">
        <v>33</v>
      </c>
      <c r="N53" s="15" t="s">
        <v>1135</v>
      </c>
      <c r="O53" s="26" t="s">
        <v>1177</v>
      </c>
      <c r="P53" s="26"/>
      <c r="Q53" s="26">
        <v>0.125</v>
      </c>
      <c r="R53" s="246" t="s">
        <v>1612</v>
      </c>
      <c r="S53" s="367"/>
      <c r="T53" s="367"/>
      <c r="U53" s="367"/>
      <c r="V53" s="367"/>
    </row>
    <row r="54" spans="1:22" ht="75" x14ac:dyDescent="0.25">
      <c r="A54" s="25" t="s">
        <v>967</v>
      </c>
      <c r="B54" s="15" t="s">
        <v>975</v>
      </c>
      <c r="C54" s="15" t="s">
        <v>1005</v>
      </c>
      <c r="D54" s="15" t="s">
        <v>78</v>
      </c>
      <c r="E54" s="16" t="s">
        <v>78</v>
      </c>
      <c r="F54" s="16" t="s">
        <v>960</v>
      </c>
      <c r="G54" s="15" t="s">
        <v>78</v>
      </c>
      <c r="H54" s="18" t="s">
        <v>981</v>
      </c>
      <c r="I54" s="15" t="s">
        <v>1003</v>
      </c>
      <c r="J54" s="15" t="s">
        <v>1618</v>
      </c>
      <c r="K54" s="16">
        <v>5</v>
      </c>
      <c r="L54" s="15" t="s">
        <v>105</v>
      </c>
      <c r="M54" s="15" t="s">
        <v>33</v>
      </c>
      <c r="N54" s="15" t="s">
        <v>1135</v>
      </c>
      <c r="O54" s="26" t="s">
        <v>1177</v>
      </c>
      <c r="P54" s="26"/>
      <c r="Q54" s="26">
        <v>0.125</v>
      </c>
      <c r="R54" s="246" t="s">
        <v>1612</v>
      </c>
      <c r="S54" s="367"/>
      <c r="T54" s="367"/>
      <c r="U54" s="367"/>
      <c r="V54" s="367"/>
    </row>
    <row r="55" spans="1:22" ht="60" x14ac:dyDescent="0.25">
      <c r="A55" s="25" t="s">
        <v>968</v>
      </c>
      <c r="B55" s="15" t="s">
        <v>1619</v>
      </c>
      <c r="C55" s="15" t="s">
        <v>1006</v>
      </c>
      <c r="D55" s="15" t="s">
        <v>78</v>
      </c>
      <c r="E55" s="16" t="s">
        <v>78</v>
      </c>
      <c r="F55" s="16" t="s">
        <v>960</v>
      </c>
      <c r="G55" s="15" t="s">
        <v>78</v>
      </c>
      <c r="H55" s="18" t="s">
        <v>982</v>
      </c>
      <c r="I55" s="15" t="s">
        <v>1002</v>
      </c>
      <c r="J55" s="15" t="s">
        <v>1616</v>
      </c>
      <c r="K55" s="16">
        <v>5</v>
      </c>
      <c r="L55" s="15" t="s">
        <v>105</v>
      </c>
      <c r="M55" s="15" t="s">
        <v>33</v>
      </c>
      <c r="N55" s="15" t="s">
        <v>1146</v>
      </c>
      <c r="O55" s="26" t="s">
        <v>1177</v>
      </c>
      <c r="P55" s="26"/>
      <c r="Q55" s="26">
        <v>0.125</v>
      </c>
      <c r="R55" s="246" t="s">
        <v>1612</v>
      </c>
      <c r="S55" s="367"/>
      <c r="T55" s="367"/>
      <c r="U55" s="367"/>
      <c r="V55" s="367"/>
    </row>
    <row r="56" spans="1:22" ht="45" x14ac:dyDescent="0.25">
      <c r="A56" s="25" t="s">
        <v>969</v>
      </c>
      <c r="B56" s="15" t="s">
        <v>976</v>
      </c>
      <c r="C56" s="15" t="s">
        <v>1007</v>
      </c>
      <c r="D56" s="15" t="s">
        <v>78</v>
      </c>
      <c r="E56" s="16" t="s">
        <v>78</v>
      </c>
      <c r="F56" s="16" t="s">
        <v>960</v>
      </c>
      <c r="G56" s="15" t="s">
        <v>78</v>
      </c>
      <c r="H56" s="18" t="s">
        <v>1089</v>
      </c>
      <c r="I56" s="15" t="s">
        <v>1008</v>
      </c>
      <c r="J56" s="15" t="s">
        <v>1620</v>
      </c>
      <c r="K56" s="16">
        <v>5</v>
      </c>
      <c r="L56" s="15" t="s">
        <v>105</v>
      </c>
      <c r="M56" s="15" t="s">
        <v>33</v>
      </c>
      <c r="N56" s="15" t="s">
        <v>1126</v>
      </c>
      <c r="O56" s="26" t="s">
        <v>1177</v>
      </c>
      <c r="P56" s="26"/>
      <c r="Q56" s="26">
        <v>0.125</v>
      </c>
      <c r="R56" s="246" t="s">
        <v>1612</v>
      </c>
      <c r="S56" s="367"/>
      <c r="T56" s="367"/>
      <c r="U56" s="367"/>
      <c r="V56" s="367"/>
    </row>
    <row r="57" spans="1:22" ht="150" x14ac:dyDescent="0.25">
      <c r="A57" s="38" t="s">
        <v>1013</v>
      </c>
      <c r="B57" s="39" t="s">
        <v>1014</v>
      </c>
      <c r="C57" s="39" t="s">
        <v>1026</v>
      </c>
      <c r="D57" s="39" t="s">
        <v>1675</v>
      </c>
      <c r="E57" s="39" t="s">
        <v>1287</v>
      </c>
      <c r="F57" s="40" t="s">
        <v>1488</v>
      </c>
      <c r="G57" s="39" t="s">
        <v>462</v>
      </c>
      <c r="H57" s="41" t="s">
        <v>79</v>
      </c>
      <c r="I57" s="39" t="s">
        <v>1676</v>
      </c>
      <c r="J57" s="39" t="s">
        <v>1030</v>
      </c>
      <c r="K57" s="40">
        <v>2</v>
      </c>
      <c r="L57" s="39"/>
      <c r="M57" s="42"/>
      <c r="N57" s="42" t="s">
        <v>1145</v>
      </c>
      <c r="O57" s="42" t="s">
        <v>1172</v>
      </c>
      <c r="P57" s="42"/>
      <c r="Q57" s="42">
        <v>0.125</v>
      </c>
      <c r="R57" s="245" t="s">
        <v>1677</v>
      </c>
      <c r="S57" s="369"/>
      <c r="T57" s="369"/>
      <c r="U57" s="369"/>
      <c r="V57" s="369"/>
    </row>
    <row r="58" spans="1:22" ht="45" x14ac:dyDescent="0.25">
      <c r="A58" s="25" t="s">
        <v>1017</v>
      </c>
      <c r="B58" s="15" t="s">
        <v>1020</v>
      </c>
      <c r="C58" s="15" t="s">
        <v>1023</v>
      </c>
      <c r="D58" s="16" t="s">
        <v>78</v>
      </c>
      <c r="E58" s="16" t="s">
        <v>78</v>
      </c>
      <c r="F58" s="16" t="s">
        <v>1013</v>
      </c>
      <c r="G58" s="15" t="s">
        <v>78</v>
      </c>
      <c r="H58" s="18" t="s">
        <v>1015</v>
      </c>
      <c r="I58" s="15" t="s">
        <v>1621</v>
      </c>
      <c r="J58" s="15" t="s">
        <v>1622</v>
      </c>
      <c r="K58" s="16">
        <v>5</v>
      </c>
      <c r="L58" s="15" t="s">
        <v>105</v>
      </c>
      <c r="M58" s="246" t="s">
        <v>33</v>
      </c>
      <c r="N58" s="26" t="s">
        <v>1145</v>
      </c>
      <c r="O58" s="26" t="s">
        <v>1177</v>
      </c>
      <c r="P58" s="26"/>
      <c r="Q58" s="26">
        <v>0.33329999999999999</v>
      </c>
      <c r="R58" s="246" t="s">
        <v>1612</v>
      </c>
      <c r="S58" s="367"/>
      <c r="T58" s="367"/>
      <c r="U58" s="367"/>
      <c r="V58" s="367"/>
    </row>
    <row r="59" spans="1:22" ht="60" x14ac:dyDescent="0.25">
      <c r="A59" s="25" t="s">
        <v>1018</v>
      </c>
      <c r="B59" s="15" t="s">
        <v>1021</v>
      </c>
      <c r="C59" s="15" t="s">
        <v>1024</v>
      </c>
      <c r="D59" s="16" t="s">
        <v>78</v>
      </c>
      <c r="E59" s="16" t="s">
        <v>78</v>
      </c>
      <c r="F59" s="16" t="s">
        <v>1013</v>
      </c>
      <c r="G59" s="15" t="s">
        <v>78</v>
      </c>
      <c r="H59" s="18" t="s">
        <v>1015</v>
      </c>
      <c r="I59" s="15" t="s">
        <v>1621</v>
      </c>
      <c r="J59" s="15" t="s">
        <v>1622</v>
      </c>
      <c r="K59" s="16">
        <v>5</v>
      </c>
      <c r="L59" s="15" t="s">
        <v>105</v>
      </c>
      <c r="M59" s="246" t="s">
        <v>33</v>
      </c>
      <c r="N59" s="26" t="s">
        <v>1145</v>
      </c>
      <c r="O59" s="26" t="s">
        <v>1177</v>
      </c>
      <c r="P59" s="26"/>
      <c r="Q59" s="26">
        <v>0.33329999999999999</v>
      </c>
      <c r="R59" s="246" t="s">
        <v>1612</v>
      </c>
      <c r="S59" s="367"/>
      <c r="T59" s="367"/>
      <c r="U59" s="367"/>
      <c r="V59" s="367"/>
    </row>
    <row r="60" spans="1:22" ht="90" x14ac:dyDescent="0.25">
      <c r="A60" s="25" t="s">
        <v>1019</v>
      </c>
      <c r="B60" s="15" t="s">
        <v>1022</v>
      </c>
      <c r="C60" s="15" t="s">
        <v>1025</v>
      </c>
      <c r="D60" s="16" t="s">
        <v>78</v>
      </c>
      <c r="E60" s="16" t="s">
        <v>78</v>
      </c>
      <c r="F60" s="16" t="s">
        <v>1013</v>
      </c>
      <c r="G60" s="15" t="s">
        <v>78</v>
      </c>
      <c r="H60" s="18" t="s">
        <v>1016</v>
      </c>
      <c r="I60" s="15" t="s">
        <v>1623</v>
      </c>
      <c r="J60" s="15" t="s">
        <v>1622</v>
      </c>
      <c r="K60" s="16">
        <v>5</v>
      </c>
      <c r="L60" s="15" t="s">
        <v>105</v>
      </c>
      <c r="M60" s="246" t="s">
        <v>33</v>
      </c>
      <c r="N60" s="26" t="s">
        <v>1135</v>
      </c>
      <c r="O60" s="26" t="s">
        <v>1177</v>
      </c>
      <c r="P60" s="26"/>
      <c r="Q60" s="26">
        <v>0.33339999999999997</v>
      </c>
      <c r="R60" s="246" t="s">
        <v>1612</v>
      </c>
      <c r="S60" s="367"/>
      <c r="T60" s="367"/>
      <c r="U60" s="367"/>
      <c r="V60" s="367"/>
    </row>
    <row r="61" spans="1:22" ht="150" x14ac:dyDescent="0.25">
      <c r="A61" s="38" t="s">
        <v>1034</v>
      </c>
      <c r="B61" s="39" t="s">
        <v>1035</v>
      </c>
      <c r="C61" s="39" t="s">
        <v>1042</v>
      </c>
      <c r="D61" s="39" t="s">
        <v>1678</v>
      </c>
      <c r="E61" s="39" t="s">
        <v>1288</v>
      </c>
      <c r="F61" s="40" t="s">
        <v>1488</v>
      </c>
      <c r="G61" s="39" t="s">
        <v>462</v>
      </c>
      <c r="H61" s="41" t="s">
        <v>79</v>
      </c>
      <c r="I61" s="39" t="s">
        <v>1679</v>
      </c>
      <c r="J61" s="39" t="s">
        <v>1030</v>
      </c>
      <c r="K61" s="40">
        <v>2</v>
      </c>
      <c r="L61" s="39"/>
      <c r="M61" s="42"/>
      <c r="N61" s="42" t="s">
        <v>1135</v>
      </c>
      <c r="O61" s="42" t="s">
        <v>1172</v>
      </c>
      <c r="P61" s="42"/>
      <c r="Q61" s="42">
        <v>0.125</v>
      </c>
      <c r="R61" s="245" t="s">
        <v>1677</v>
      </c>
      <c r="S61" s="369"/>
      <c r="T61" s="369"/>
      <c r="U61" s="369"/>
      <c r="V61" s="369"/>
    </row>
    <row r="62" spans="1:22" ht="60" x14ac:dyDescent="0.25">
      <c r="A62" s="25" t="s">
        <v>1036</v>
      </c>
      <c r="B62" s="15" t="s">
        <v>1037</v>
      </c>
      <c r="C62" s="15" t="s">
        <v>1063</v>
      </c>
      <c r="D62" s="16" t="s">
        <v>78</v>
      </c>
      <c r="E62" s="16" t="s">
        <v>78</v>
      </c>
      <c r="F62" s="16" t="s">
        <v>1034</v>
      </c>
      <c r="G62" s="16" t="s">
        <v>78</v>
      </c>
      <c r="H62" s="18" t="s">
        <v>416</v>
      </c>
      <c r="I62" s="15" t="s">
        <v>1624</v>
      </c>
      <c r="J62" s="15" t="s">
        <v>1625</v>
      </c>
      <c r="K62" s="16">
        <v>5</v>
      </c>
      <c r="L62" s="15" t="s">
        <v>105</v>
      </c>
      <c r="M62" s="26" t="s">
        <v>33</v>
      </c>
      <c r="N62" s="26" t="s">
        <v>1135</v>
      </c>
      <c r="O62" s="26" t="s">
        <v>1177</v>
      </c>
      <c r="P62" s="26"/>
      <c r="Q62" s="26">
        <v>0.33329999999999999</v>
      </c>
      <c r="R62" s="26" t="s">
        <v>1612</v>
      </c>
      <c r="S62" s="367"/>
      <c r="T62" s="367"/>
      <c r="U62" s="367"/>
      <c r="V62" s="367"/>
    </row>
    <row r="63" spans="1:22" ht="45" x14ac:dyDescent="0.25">
      <c r="A63" s="25" t="s">
        <v>1289</v>
      </c>
      <c r="B63" s="15" t="s">
        <v>1074</v>
      </c>
      <c r="C63" s="15" t="s">
        <v>1038</v>
      </c>
      <c r="D63" s="16" t="s">
        <v>78</v>
      </c>
      <c r="E63" s="16" t="s">
        <v>78</v>
      </c>
      <c r="F63" s="16" t="s">
        <v>1034</v>
      </c>
      <c r="G63" s="16" t="s">
        <v>78</v>
      </c>
      <c r="H63" s="18" t="s">
        <v>1041</v>
      </c>
      <c r="I63" s="15" t="s">
        <v>1626</v>
      </c>
      <c r="J63" s="15" t="s">
        <v>1627</v>
      </c>
      <c r="K63" s="16">
        <v>5</v>
      </c>
      <c r="L63" s="15" t="s">
        <v>105</v>
      </c>
      <c r="M63" s="26" t="s">
        <v>33</v>
      </c>
      <c r="N63" s="26" t="s">
        <v>1135</v>
      </c>
      <c r="O63" s="26" t="s">
        <v>1177</v>
      </c>
      <c r="P63" s="26"/>
      <c r="Q63" s="26">
        <v>0.33329999999999999</v>
      </c>
      <c r="R63" s="26" t="s">
        <v>1612</v>
      </c>
      <c r="S63" s="367"/>
      <c r="T63" s="367"/>
      <c r="U63" s="367"/>
      <c r="V63" s="367"/>
    </row>
    <row r="64" spans="1:22" ht="45" x14ac:dyDescent="0.25">
      <c r="A64" s="25" t="s">
        <v>1290</v>
      </c>
      <c r="B64" s="15" t="s">
        <v>1073</v>
      </c>
      <c r="C64" s="15" t="s">
        <v>1039</v>
      </c>
      <c r="D64" s="16" t="s">
        <v>78</v>
      </c>
      <c r="E64" s="16" t="s">
        <v>78</v>
      </c>
      <c r="F64" s="16" t="s">
        <v>1034</v>
      </c>
      <c r="G64" s="16" t="s">
        <v>78</v>
      </c>
      <c r="H64" s="18" t="s">
        <v>1040</v>
      </c>
      <c r="I64" s="15" t="s">
        <v>1628</v>
      </c>
      <c r="J64" s="15" t="s">
        <v>1627</v>
      </c>
      <c r="K64" s="16">
        <v>5</v>
      </c>
      <c r="L64" s="15" t="s">
        <v>105</v>
      </c>
      <c r="M64" s="26" t="s">
        <v>33</v>
      </c>
      <c r="N64" s="26" t="s">
        <v>1135</v>
      </c>
      <c r="O64" s="26" t="s">
        <v>1177</v>
      </c>
      <c r="P64" s="26"/>
      <c r="Q64" s="26">
        <v>0.33339999999999997</v>
      </c>
      <c r="R64" s="26" t="s">
        <v>1612</v>
      </c>
      <c r="S64" s="367"/>
      <c r="T64" s="367"/>
      <c r="U64" s="367"/>
      <c r="V64" s="367"/>
    </row>
    <row r="65" spans="1:22" ht="390" x14ac:dyDescent="0.25">
      <c r="A65" s="38" t="s">
        <v>1052</v>
      </c>
      <c r="B65" s="39" t="s">
        <v>1064</v>
      </c>
      <c r="C65" s="39" t="s">
        <v>1123</v>
      </c>
      <c r="D65" s="39" t="s">
        <v>1065</v>
      </c>
      <c r="E65" s="40" t="s">
        <v>1505</v>
      </c>
      <c r="F65" s="40" t="s">
        <v>78</v>
      </c>
      <c r="G65" s="39" t="s">
        <v>462</v>
      </c>
      <c r="H65" s="41" t="s">
        <v>655</v>
      </c>
      <c r="I65" s="39" t="s">
        <v>1680</v>
      </c>
      <c r="J65" s="39" t="s">
        <v>1030</v>
      </c>
      <c r="K65" s="40">
        <v>2</v>
      </c>
      <c r="L65" s="39"/>
      <c r="M65" s="42"/>
      <c r="N65" s="42" t="s">
        <v>1126</v>
      </c>
      <c r="O65" s="275" t="s">
        <v>1172</v>
      </c>
      <c r="P65" s="42"/>
      <c r="Q65" s="42">
        <v>0.11119999999999999</v>
      </c>
      <c r="R65" s="245" t="s">
        <v>1681</v>
      </c>
      <c r="S65" s="369"/>
      <c r="T65" s="369"/>
      <c r="U65" s="369"/>
      <c r="V65" s="369"/>
    </row>
  </sheetData>
  <phoneticPr fontId="3" type="noConversion"/>
  <pageMargins left="0.7" right="0.7" top="0.78740157499999996" bottom="0.78740157499999996" header="0.3" footer="0.3"/>
  <pageSetup orientation="portrait" horizontalDpi="1200" verticalDpi="12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94BE-4D3A-4F98-95FE-45B90FAF3064}">
  <sheetPr>
    <tabColor rgb="FFC4E0FF"/>
  </sheetPr>
  <dimension ref="A1:V68"/>
  <sheetViews>
    <sheetView topLeftCell="D1" zoomScale="95" zoomScaleNormal="95" workbookViewId="0">
      <pane ySplit="1" topLeftCell="A56" activePane="bottomLeft" state="frozen"/>
      <selection pane="bottomLeft" activeCell="N64" sqref="N64"/>
    </sheetView>
  </sheetViews>
  <sheetFormatPr defaultColWidth="11.42578125" defaultRowHeight="15" x14ac:dyDescent="0.25"/>
  <cols>
    <col min="1" max="1" width="8.42578125" customWidth="1"/>
    <col min="2" max="2" width="41" bestFit="1" customWidth="1"/>
    <col min="3" max="4" width="49" style="2" customWidth="1"/>
    <col min="5" max="5" width="18.42578125" style="187" customWidth="1"/>
    <col min="6" max="6" width="16" style="164" customWidth="1"/>
    <col min="7" max="7" width="24.5703125" style="164" customWidth="1"/>
    <col min="8" max="8" width="11.42578125" style="1" bestFit="1" customWidth="1"/>
    <col min="9" max="9" width="26.5703125" style="2" customWidth="1"/>
    <col min="10" max="10" width="17.85546875" customWidth="1"/>
    <col min="11" max="11" width="9" customWidth="1"/>
    <col min="13" max="13" width="13.42578125" customWidth="1"/>
    <col min="14" max="14" width="13.42578125" style="164" customWidth="1"/>
    <col min="15" max="15" width="22.5703125" style="164" hidden="1" customWidth="1"/>
    <col min="16" max="16" width="13.42578125" style="164" hidden="1" customWidth="1"/>
    <col min="17" max="17" width="13.42578125" style="164" customWidth="1"/>
    <col min="18" max="18" width="29" customWidth="1"/>
    <col min="19" max="19" width="15.5703125" customWidth="1"/>
  </cols>
  <sheetData>
    <row r="1" spans="1:22" s="225" customFormat="1" ht="37.5" customHeight="1" x14ac:dyDescent="0.25">
      <c r="A1" s="226" t="s">
        <v>65</v>
      </c>
      <c r="B1" s="227" t="s">
        <v>66</v>
      </c>
      <c r="C1" s="227" t="s">
        <v>8</v>
      </c>
      <c r="D1" s="227" t="s">
        <v>67</v>
      </c>
      <c r="E1" s="228" t="s">
        <v>68</v>
      </c>
      <c r="F1" s="282" t="s">
        <v>1352</v>
      </c>
      <c r="G1" s="228" t="s">
        <v>69</v>
      </c>
      <c r="H1" s="227" t="s">
        <v>70</v>
      </c>
      <c r="I1" s="227" t="s">
        <v>71</v>
      </c>
      <c r="J1" s="229" t="s">
        <v>72</v>
      </c>
      <c r="K1" s="227" t="s">
        <v>73</v>
      </c>
      <c r="L1" s="229" t="s">
        <v>74</v>
      </c>
      <c r="M1" s="229" t="s">
        <v>1471</v>
      </c>
      <c r="N1" s="247" t="s">
        <v>1342</v>
      </c>
      <c r="O1" s="24" t="s">
        <v>1219</v>
      </c>
      <c r="P1" s="258" t="s">
        <v>1220</v>
      </c>
      <c r="Q1" s="24" t="s">
        <v>1346</v>
      </c>
      <c r="R1" s="230" t="s">
        <v>75</v>
      </c>
      <c r="S1" s="223" t="s">
        <v>1482</v>
      </c>
      <c r="T1" s="223" t="s">
        <v>1483</v>
      </c>
      <c r="U1" s="223" t="s">
        <v>1484</v>
      </c>
      <c r="V1" s="223" t="s">
        <v>1485</v>
      </c>
    </row>
    <row r="2" spans="1:22" ht="120" x14ac:dyDescent="0.25">
      <c r="A2" s="127" t="s">
        <v>76</v>
      </c>
      <c r="B2" s="165" t="s">
        <v>1325</v>
      </c>
      <c r="C2" s="128" t="s">
        <v>1682</v>
      </c>
      <c r="D2" s="128" t="s">
        <v>77</v>
      </c>
      <c r="E2" s="182" t="s">
        <v>1506</v>
      </c>
      <c r="F2" s="156" t="s">
        <v>78</v>
      </c>
      <c r="G2" s="156" t="s">
        <v>78</v>
      </c>
      <c r="H2" s="130" t="s">
        <v>79</v>
      </c>
      <c r="I2" s="129" t="s">
        <v>1683</v>
      </c>
      <c r="J2" s="193"/>
      <c r="K2" s="131">
        <v>1</v>
      </c>
      <c r="L2" s="132"/>
      <c r="M2" s="193"/>
      <c r="N2" s="254" t="s">
        <v>1126</v>
      </c>
      <c r="O2" s="254" t="s">
        <v>1172</v>
      </c>
      <c r="P2" s="254"/>
      <c r="Q2" s="254"/>
      <c r="R2" s="145"/>
      <c r="S2" s="130"/>
      <c r="T2" s="130"/>
      <c r="U2" s="130"/>
      <c r="V2" s="130"/>
    </row>
    <row r="3" spans="1:22" ht="120" x14ac:dyDescent="0.25">
      <c r="A3" s="123" t="s">
        <v>80</v>
      </c>
      <c r="B3" s="152" t="s">
        <v>81</v>
      </c>
      <c r="C3" s="124" t="s">
        <v>1684</v>
      </c>
      <c r="D3" s="124" t="s">
        <v>82</v>
      </c>
      <c r="E3" s="183" t="s">
        <v>1304</v>
      </c>
      <c r="F3" s="157" t="s">
        <v>76</v>
      </c>
      <c r="G3" s="158" t="s">
        <v>83</v>
      </c>
      <c r="H3" s="142" t="s">
        <v>79</v>
      </c>
      <c r="I3" s="124" t="s">
        <v>84</v>
      </c>
      <c r="J3" s="194"/>
      <c r="K3" s="125">
        <v>2</v>
      </c>
      <c r="L3" s="126"/>
      <c r="M3" s="194"/>
      <c r="N3" s="248" t="s">
        <v>1126</v>
      </c>
      <c r="O3" s="248" t="s">
        <v>1177</v>
      </c>
      <c r="P3" s="248"/>
      <c r="Q3" s="248">
        <v>0.2</v>
      </c>
      <c r="R3" s="146" t="s">
        <v>1507</v>
      </c>
      <c r="S3" s="364"/>
      <c r="T3" s="364"/>
      <c r="U3" s="364"/>
      <c r="V3" s="364"/>
    </row>
    <row r="4" spans="1:22" ht="240" x14ac:dyDescent="0.25">
      <c r="A4" s="123" t="s">
        <v>85</v>
      </c>
      <c r="B4" s="152" t="s">
        <v>86</v>
      </c>
      <c r="C4" s="124" t="s">
        <v>87</v>
      </c>
      <c r="D4" s="124" t="s">
        <v>88</v>
      </c>
      <c r="E4" s="183" t="s">
        <v>1305</v>
      </c>
      <c r="F4" s="157" t="s">
        <v>76</v>
      </c>
      <c r="G4" s="158" t="s">
        <v>83</v>
      </c>
      <c r="H4" s="142" t="s">
        <v>79</v>
      </c>
      <c r="I4" s="124" t="s">
        <v>89</v>
      </c>
      <c r="J4" s="194"/>
      <c r="K4" s="125">
        <v>2</v>
      </c>
      <c r="L4" s="126"/>
      <c r="M4" s="194"/>
      <c r="N4" s="248" t="s">
        <v>1126</v>
      </c>
      <c r="O4" s="276" t="s">
        <v>1177</v>
      </c>
      <c r="P4" s="248"/>
      <c r="Q4" s="248">
        <v>0.2</v>
      </c>
      <c r="R4" s="146" t="s">
        <v>1508</v>
      </c>
      <c r="S4" s="364">
        <v>0</v>
      </c>
      <c r="T4" s="364">
        <v>1</v>
      </c>
      <c r="U4" s="364"/>
      <c r="V4" s="364"/>
    </row>
    <row r="5" spans="1:22" ht="90" x14ac:dyDescent="0.25">
      <c r="A5" s="133" t="s">
        <v>90</v>
      </c>
      <c r="B5" s="153" t="s">
        <v>91</v>
      </c>
      <c r="C5" s="134" t="s">
        <v>92</v>
      </c>
      <c r="D5" s="134" t="s">
        <v>93</v>
      </c>
      <c r="E5" s="184" t="s">
        <v>1306</v>
      </c>
      <c r="F5" s="159" t="s">
        <v>80</v>
      </c>
      <c r="G5" s="159" t="s">
        <v>78</v>
      </c>
      <c r="H5" s="143" t="s">
        <v>94</v>
      </c>
      <c r="I5" s="134" t="s">
        <v>95</v>
      </c>
      <c r="J5" s="195"/>
      <c r="K5" s="135">
        <v>3</v>
      </c>
      <c r="L5" s="136"/>
      <c r="M5" s="195"/>
      <c r="N5" s="249" t="s">
        <v>1126</v>
      </c>
      <c r="O5" s="277" t="s">
        <v>1495</v>
      </c>
      <c r="P5" s="249"/>
      <c r="Q5" s="249" t="s">
        <v>1494</v>
      </c>
      <c r="R5" s="147" t="s">
        <v>1509</v>
      </c>
      <c r="S5" s="365"/>
      <c r="T5" s="365"/>
      <c r="U5" s="365"/>
      <c r="V5" s="365"/>
    </row>
    <row r="6" spans="1:22" ht="105" x14ac:dyDescent="0.25">
      <c r="A6" s="133" t="s">
        <v>96</v>
      </c>
      <c r="B6" s="153" t="s">
        <v>97</v>
      </c>
      <c r="C6" s="134" t="s">
        <v>98</v>
      </c>
      <c r="D6" s="134" t="s">
        <v>99</v>
      </c>
      <c r="E6" s="184" t="s">
        <v>1307</v>
      </c>
      <c r="F6" s="160" t="s">
        <v>80</v>
      </c>
      <c r="G6" s="160" t="s">
        <v>78</v>
      </c>
      <c r="H6" s="143" t="s">
        <v>94</v>
      </c>
      <c r="I6" s="134" t="s">
        <v>100</v>
      </c>
      <c r="J6" s="195" t="s">
        <v>1494</v>
      </c>
      <c r="K6" s="135">
        <v>3</v>
      </c>
      <c r="L6" s="136"/>
      <c r="M6" s="195"/>
      <c r="N6" s="249" t="s">
        <v>1126</v>
      </c>
      <c r="O6" s="277" t="s">
        <v>1510</v>
      </c>
      <c r="P6" s="249"/>
      <c r="Q6" s="249" t="s">
        <v>1494</v>
      </c>
      <c r="R6" s="147" t="s">
        <v>1511</v>
      </c>
      <c r="S6" s="365"/>
      <c r="T6" s="365"/>
      <c r="U6" s="365"/>
      <c r="V6" s="365"/>
    </row>
    <row r="7" spans="1:22" ht="45" x14ac:dyDescent="0.25">
      <c r="A7" s="148" t="s">
        <v>102</v>
      </c>
      <c r="B7" s="154" t="s">
        <v>103</v>
      </c>
      <c r="C7" s="89" t="s">
        <v>104</v>
      </c>
      <c r="D7" s="185" t="s">
        <v>78</v>
      </c>
      <c r="E7" s="185" t="s">
        <v>78</v>
      </c>
      <c r="F7" s="161" t="s">
        <v>90</v>
      </c>
      <c r="G7" s="161" t="s">
        <v>78</v>
      </c>
      <c r="H7" s="149" t="s">
        <v>94</v>
      </c>
      <c r="I7" s="89" t="s">
        <v>78</v>
      </c>
      <c r="J7" s="196"/>
      <c r="K7" s="150">
        <v>5</v>
      </c>
      <c r="L7" s="151" t="s">
        <v>105</v>
      </c>
      <c r="M7" s="196"/>
      <c r="N7" s="250" t="s">
        <v>1142</v>
      </c>
      <c r="O7" s="250" t="s">
        <v>1176</v>
      </c>
      <c r="P7" s="250"/>
      <c r="Q7" s="250">
        <v>0.2</v>
      </c>
      <c r="R7" s="93"/>
      <c r="S7" s="363"/>
      <c r="T7" s="363"/>
      <c r="U7" s="363"/>
      <c r="V7" s="363"/>
    </row>
    <row r="8" spans="1:22" ht="30" x14ac:dyDescent="0.25">
      <c r="A8" s="148" t="s">
        <v>106</v>
      </c>
      <c r="B8" s="154" t="s">
        <v>107</v>
      </c>
      <c r="C8" s="89" t="s">
        <v>108</v>
      </c>
      <c r="D8" s="185" t="s">
        <v>78</v>
      </c>
      <c r="E8" s="185" t="s">
        <v>78</v>
      </c>
      <c r="F8" s="161" t="s">
        <v>90</v>
      </c>
      <c r="G8" s="161" t="s">
        <v>78</v>
      </c>
      <c r="H8" s="149" t="s">
        <v>94</v>
      </c>
      <c r="I8" s="89" t="s">
        <v>78</v>
      </c>
      <c r="J8" s="196"/>
      <c r="K8" s="150">
        <v>5</v>
      </c>
      <c r="L8" s="151" t="s">
        <v>105</v>
      </c>
      <c r="M8" s="196"/>
      <c r="N8" s="250" t="s">
        <v>1142</v>
      </c>
      <c r="O8" s="250" t="s">
        <v>1176</v>
      </c>
      <c r="P8" s="250"/>
      <c r="Q8" s="250">
        <v>0.2</v>
      </c>
      <c r="R8" s="93"/>
      <c r="S8" s="363"/>
      <c r="T8" s="363"/>
      <c r="U8" s="363"/>
      <c r="V8" s="363"/>
    </row>
    <row r="9" spans="1:22" ht="30" x14ac:dyDescent="0.25">
      <c r="A9" s="148" t="s">
        <v>109</v>
      </c>
      <c r="B9" s="154" t="s">
        <v>110</v>
      </c>
      <c r="C9" s="89" t="s">
        <v>111</v>
      </c>
      <c r="D9" s="185" t="s">
        <v>78</v>
      </c>
      <c r="E9" s="185" t="s">
        <v>78</v>
      </c>
      <c r="F9" s="161" t="s">
        <v>1304</v>
      </c>
      <c r="G9" s="161" t="s">
        <v>78</v>
      </c>
      <c r="H9" s="149" t="s">
        <v>94</v>
      </c>
      <c r="I9" s="89" t="s">
        <v>78</v>
      </c>
      <c r="J9" s="196" t="s">
        <v>1433</v>
      </c>
      <c r="K9" s="150">
        <v>5</v>
      </c>
      <c r="L9" s="151" t="s">
        <v>105</v>
      </c>
      <c r="M9" s="196"/>
      <c r="N9" s="250" t="s">
        <v>1147</v>
      </c>
      <c r="O9" s="250" t="s">
        <v>1176</v>
      </c>
      <c r="P9" s="250"/>
      <c r="Q9" s="250">
        <v>0.2</v>
      </c>
      <c r="R9" s="93"/>
      <c r="S9" s="363"/>
      <c r="T9" s="363"/>
      <c r="U9" s="363"/>
      <c r="V9" s="363"/>
    </row>
    <row r="10" spans="1:22" ht="45" x14ac:dyDescent="0.25">
      <c r="A10" s="148" t="s">
        <v>112</v>
      </c>
      <c r="B10" s="154" t="s">
        <v>113</v>
      </c>
      <c r="C10" s="89" t="s">
        <v>114</v>
      </c>
      <c r="D10" s="161" t="s">
        <v>78</v>
      </c>
      <c r="E10" s="161" t="s">
        <v>78</v>
      </c>
      <c r="F10" s="90" t="s">
        <v>1512</v>
      </c>
      <c r="G10" s="161" t="s">
        <v>78</v>
      </c>
      <c r="H10" s="149" t="s">
        <v>94</v>
      </c>
      <c r="I10" s="89" t="s">
        <v>78</v>
      </c>
      <c r="J10" s="196" t="s">
        <v>1433</v>
      </c>
      <c r="K10" s="150">
        <v>5</v>
      </c>
      <c r="L10" s="151" t="s">
        <v>105</v>
      </c>
      <c r="M10" s="196"/>
      <c r="N10" s="250" t="s">
        <v>1126</v>
      </c>
      <c r="O10" s="250" t="s">
        <v>1176</v>
      </c>
      <c r="P10" s="250"/>
      <c r="Q10" s="250">
        <v>0.5</v>
      </c>
      <c r="R10" s="93"/>
      <c r="S10" s="363"/>
      <c r="T10" s="363"/>
      <c r="U10" s="363"/>
      <c r="V10" s="363"/>
    </row>
    <row r="11" spans="1:22" ht="60" x14ac:dyDescent="0.25">
      <c r="A11" s="137" t="s">
        <v>115</v>
      </c>
      <c r="B11" s="155" t="s">
        <v>116</v>
      </c>
      <c r="C11" s="138" t="s">
        <v>1685</v>
      </c>
      <c r="D11" s="138" t="s">
        <v>117</v>
      </c>
      <c r="E11" s="186" t="s">
        <v>1308</v>
      </c>
      <c r="F11" s="162" t="s">
        <v>1304</v>
      </c>
      <c r="G11" s="162" t="s">
        <v>78</v>
      </c>
      <c r="H11" s="144" t="s">
        <v>94</v>
      </c>
      <c r="I11" s="138" t="s">
        <v>1686</v>
      </c>
      <c r="J11" s="197"/>
      <c r="K11" s="139">
        <v>4</v>
      </c>
      <c r="L11" s="140"/>
      <c r="M11" s="197"/>
      <c r="N11" s="251" t="s">
        <v>1126</v>
      </c>
      <c r="O11" s="278" t="s">
        <v>1495</v>
      </c>
      <c r="P11" s="251"/>
      <c r="Q11" s="251" t="s">
        <v>1494</v>
      </c>
      <c r="R11" s="141" t="s">
        <v>1513</v>
      </c>
      <c r="S11" s="366"/>
      <c r="T11" s="366"/>
      <c r="U11" s="366"/>
      <c r="V11" s="366"/>
    </row>
    <row r="12" spans="1:22" ht="60" x14ac:dyDescent="0.25">
      <c r="A12" s="137" t="s">
        <v>118</v>
      </c>
      <c r="B12" s="155" t="s">
        <v>119</v>
      </c>
      <c r="C12" s="138" t="s">
        <v>1687</v>
      </c>
      <c r="D12" s="138" t="s">
        <v>120</v>
      </c>
      <c r="E12" s="186" t="s">
        <v>1309</v>
      </c>
      <c r="F12" s="162" t="s">
        <v>1304</v>
      </c>
      <c r="G12" s="162" t="s">
        <v>78</v>
      </c>
      <c r="H12" s="144" t="s">
        <v>94</v>
      </c>
      <c r="I12" s="186" t="s">
        <v>121</v>
      </c>
      <c r="J12" s="197"/>
      <c r="K12" s="139">
        <v>4</v>
      </c>
      <c r="L12" s="140"/>
      <c r="M12" s="197"/>
      <c r="N12" s="251" t="s">
        <v>1126</v>
      </c>
      <c r="O12" s="278" t="s">
        <v>1495</v>
      </c>
      <c r="P12" s="251"/>
      <c r="Q12" s="251" t="s">
        <v>1494</v>
      </c>
      <c r="R12" s="141" t="s">
        <v>1513</v>
      </c>
      <c r="S12" s="366"/>
      <c r="T12" s="366"/>
      <c r="U12" s="366"/>
      <c r="V12" s="366"/>
    </row>
    <row r="13" spans="1:22" ht="83.45" customHeight="1" x14ac:dyDescent="0.25">
      <c r="A13" s="137" t="s">
        <v>122</v>
      </c>
      <c r="B13" s="155" t="s">
        <v>123</v>
      </c>
      <c r="C13" s="138" t="s">
        <v>1688</v>
      </c>
      <c r="D13" s="138" t="s">
        <v>124</v>
      </c>
      <c r="E13" s="186" t="s">
        <v>1310</v>
      </c>
      <c r="F13" s="163" t="s">
        <v>1329</v>
      </c>
      <c r="G13" s="162" t="s">
        <v>78</v>
      </c>
      <c r="H13" s="144" t="s">
        <v>94</v>
      </c>
      <c r="I13" s="138" t="s">
        <v>1689</v>
      </c>
      <c r="J13" s="197"/>
      <c r="K13" s="139">
        <v>4</v>
      </c>
      <c r="L13" s="140"/>
      <c r="M13" s="197"/>
      <c r="N13" s="251" t="s">
        <v>1126</v>
      </c>
      <c r="O13" s="278" t="s">
        <v>1495</v>
      </c>
      <c r="P13" s="251"/>
      <c r="Q13" s="251" t="s">
        <v>1494</v>
      </c>
      <c r="R13" s="141" t="s">
        <v>125</v>
      </c>
      <c r="S13" s="366"/>
      <c r="T13" s="366"/>
      <c r="U13" s="366"/>
      <c r="V13" s="366"/>
    </row>
    <row r="14" spans="1:22" ht="30" x14ac:dyDescent="0.25">
      <c r="A14" s="148" t="s">
        <v>126</v>
      </c>
      <c r="B14" s="154" t="s">
        <v>127</v>
      </c>
      <c r="C14" s="89" t="s">
        <v>128</v>
      </c>
      <c r="D14" s="185" t="s">
        <v>78</v>
      </c>
      <c r="E14" s="91" t="s">
        <v>1311</v>
      </c>
      <c r="F14" s="161" t="s">
        <v>122</v>
      </c>
      <c r="G14" s="89" t="s">
        <v>78</v>
      </c>
      <c r="H14" s="149" t="s">
        <v>94</v>
      </c>
      <c r="I14" s="89" t="s">
        <v>129</v>
      </c>
      <c r="J14" s="196"/>
      <c r="K14" s="150">
        <v>5</v>
      </c>
      <c r="L14" s="151" t="s">
        <v>1494</v>
      </c>
      <c r="M14" s="196"/>
      <c r="N14" s="250" t="s">
        <v>1135</v>
      </c>
      <c r="O14" s="279" t="s">
        <v>1495</v>
      </c>
      <c r="P14" s="250"/>
      <c r="Q14" s="250" t="s">
        <v>1494</v>
      </c>
      <c r="R14" s="93"/>
      <c r="S14" s="363"/>
      <c r="T14" s="363"/>
      <c r="U14" s="363"/>
      <c r="V14" s="363"/>
    </row>
    <row r="15" spans="1:22" ht="30" x14ac:dyDescent="0.25">
      <c r="A15" s="148" t="s">
        <v>130</v>
      </c>
      <c r="B15" s="154" t="s">
        <v>135</v>
      </c>
      <c r="C15" s="89" t="s">
        <v>136</v>
      </c>
      <c r="D15" s="185" t="s">
        <v>78</v>
      </c>
      <c r="E15" s="185" t="s">
        <v>78</v>
      </c>
      <c r="F15" s="161" t="s">
        <v>122</v>
      </c>
      <c r="G15" s="89" t="s">
        <v>78</v>
      </c>
      <c r="H15" s="149" t="s">
        <v>94</v>
      </c>
      <c r="I15" s="89" t="s">
        <v>78</v>
      </c>
      <c r="J15" s="196"/>
      <c r="K15" s="150">
        <v>5</v>
      </c>
      <c r="L15" s="151" t="s">
        <v>105</v>
      </c>
      <c r="M15" s="196"/>
      <c r="N15" s="250" t="s">
        <v>1144</v>
      </c>
      <c r="O15" s="250" t="s">
        <v>1176</v>
      </c>
      <c r="P15" s="250"/>
      <c r="Q15" s="250">
        <v>0.2</v>
      </c>
      <c r="R15" s="93"/>
      <c r="S15" s="363"/>
      <c r="T15" s="363"/>
      <c r="U15" s="363"/>
      <c r="V15" s="363"/>
    </row>
    <row r="16" spans="1:22" ht="30" x14ac:dyDescent="0.25">
      <c r="A16" s="148" t="s">
        <v>132</v>
      </c>
      <c r="B16" s="154" t="s">
        <v>138</v>
      </c>
      <c r="C16" s="89" t="s">
        <v>139</v>
      </c>
      <c r="D16" s="185" t="s">
        <v>78</v>
      </c>
      <c r="E16" s="185" t="s">
        <v>78</v>
      </c>
      <c r="F16" s="161" t="s">
        <v>122</v>
      </c>
      <c r="G16" s="89" t="s">
        <v>78</v>
      </c>
      <c r="H16" s="149" t="s">
        <v>94</v>
      </c>
      <c r="I16" s="89" t="s">
        <v>78</v>
      </c>
      <c r="J16" s="196"/>
      <c r="K16" s="150">
        <v>5</v>
      </c>
      <c r="L16" s="151" t="s">
        <v>105</v>
      </c>
      <c r="M16" s="196"/>
      <c r="N16" s="250" t="s">
        <v>1142</v>
      </c>
      <c r="O16" s="250" t="s">
        <v>1176</v>
      </c>
      <c r="P16" s="250"/>
      <c r="Q16" s="250">
        <v>0.2</v>
      </c>
      <c r="R16" s="93"/>
      <c r="S16" s="363"/>
      <c r="T16" s="363"/>
      <c r="U16" s="363"/>
      <c r="V16" s="363"/>
    </row>
    <row r="17" spans="1:22" ht="30" x14ac:dyDescent="0.25">
      <c r="A17" s="148" t="s">
        <v>134</v>
      </c>
      <c r="B17" s="154" t="s">
        <v>140</v>
      </c>
      <c r="C17" s="89" t="s">
        <v>141</v>
      </c>
      <c r="D17" s="185" t="s">
        <v>78</v>
      </c>
      <c r="E17" s="185" t="s">
        <v>78</v>
      </c>
      <c r="F17" s="161" t="s">
        <v>122</v>
      </c>
      <c r="G17" s="89" t="s">
        <v>78</v>
      </c>
      <c r="H17" s="149" t="s">
        <v>94</v>
      </c>
      <c r="I17" s="89" t="s">
        <v>78</v>
      </c>
      <c r="J17" s="196"/>
      <c r="K17" s="150">
        <v>5</v>
      </c>
      <c r="L17" s="151" t="s">
        <v>105</v>
      </c>
      <c r="M17" s="196"/>
      <c r="N17" s="250" t="s">
        <v>1130</v>
      </c>
      <c r="O17" s="250" t="s">
        <v>1176</v>
      </c>
      <c r="P17" s="250"/>
      <c r="Q17" s="250">
        <v>0.2</v>
      </c>
      <c r="R17" s="93"/>
      <c r="S17" s="363"/>
      <c r="T17" s="363"/>
      <c r="U17" s="363"/>
      <c r="V17" s="363"/>
    </row>
    <row r="18" spans="1:22" ht="30" x14ac:dyDescent="0.25">
      <c r="A18" s="148" t="s">
        <v>137</v>
      </c>
      <c r="B18" s="154" t="s">
        <v>1124</v>
      </c>
      <c r="C18" s="89" t="s">
        <v>142</v>
      </c>
      <c r="D18" s="185" t="s">
        <v>78</v>
      </c>
      <c r="E18" s="185" t="s">
        <v>78</v>
      </c>
      <c r="F18" s="161" t="s">
        <v>122</v>
      </c>
      <c r="G18" s="89" t="s">
        <v>78</v>
      </c>
      <c r="H18" s="149" t="s">
        <v>94</v>
      </c>
      <c r="I18" s="89" t="s">
        <v>78</v>
      </c>
      <c r="J18" s="196"/>
      <c r="K18" s="150">
        <v>5</v>
      </c>
      <c r="L18" s="151" t="s">
        <v>105</v>
      </c>
      <c r="M18" s="196"/>
      <c r="N18" s="250" t="s">
        <v>1134</v>
      </c>
      <c r="O18" s="250" t="s">
        <v>1176</v>
      </c>
      <c r="P18" s="250"/>
      <c r="Q18" s="250">
        <v>0.2</v>
      </c>
      <c r="R18" s="93"/>
      <c r="S18" s="363"/>
      <c r="T18" s="363"/>
      <c r="U18" s="363"/>
      <c r="V18" s="363"/>
    </row>
    <row r="19" spans="1:22" ht="165" x14ac:dyDescent="0.25">
      <c r="A19" s="174" t="s">
        <v>143</v>
      </c>
      <c r="B19" s="175" t="s">
        <v>144</v>
      </c>
      <c r="C19" s="176" t="s">
        <v>1690</v>
      </c>
      <c r="D19" s="176" t="s">
        <v>145</v>
      </c>
      <c r="E19" s="190" t="s">
        <v>1312</v>
      </c>
      <c r="F19" s="177" t="s">
        <v>76</v>
      </c>
      <c r="G19" s="188" t="s">
        <v>83</v>
      </c>
      <c r="H19" s="178" t="s">
        <v>79</v>
      </c>
      <c r="I19" s="176" t="s">
        <v>146</v>
      </c>
      <c r="J19" s="179" t="s">
        <v>101</v>
      </c>
      <c r="K19" s="179">
        <v>2</v>
      </c>
      <c r="L19" s="180"/>
      <c r="M19" s="179"/>
      <c r="N19" s="252" t="s">
        <v>1126</v>
      </c>
      <c r="O19" s="280" t="s">
        <v>1177</v>
      </c>
      <c r="P19" s="252"/>
      <c r="Q19" s="252">
        <v>0.2</v>
      </c>
      <c r="R19" s="181" t="s">
        <v>1691</v>
      </c>
      <c r="S19" s="364">
        <v>0</v>
      </c>
      <c r="T19" s="364">
        <v>1</v>
      </c>
      <c r="U19" s="364"/>
      <c r="V19" s="364"/>
    </row>
    <row r="20" spans="1:22" ht="30" x14ac:dyDescent="0.25">
      <c r="A20" s="148" t="s">
        <v>147</v>
      </c>
      <c r="B20" s="154" t="s">
        <v>148</v>
      </c>
      <c r="C20" s="89" t="s">
        <v>149</v>
      </c>
      <c r="D20" s="185" t="s">
        <v>78</v>
      </c>
      <c r="E20" s="185" t="s">
        <v>78</v>
      </c>
      <c r="F20" s="161" t="s">
        <v>143</v>
      </c>
      <c r="G20" s="89" t="s">
        <v>78</v>
      </c>
      <c r="H20" s="149" t="s">
        <v>94</v>
      </c>
      <c r="I20" s="89" t="s">
        <v>78</v>
      </c>
      <c r="J20" s="196"/>
      <c r="K20" s="150">
        <v>5</v>
      </c>
      <c r="L20" s="151" t="s">
        <v>105</v>
      </c>
      <c r="M20" s="196"/>
      <c r="N20" s="250" t="s">
        <v>1126</v>
      </c>
      <c r="O20" s="250" t="s">
        <v>1176</v>
      </c>
      <c r="P20" s="250"/>
      <c r="Q20" s="250"/>
      <c r="R20" s="93"/>
      <c r="S20" s="363"/>
      <c r="T20" s="363"/>
      <c r="U20" s="363"/>
      <c r="V20" s="363"/>
    </row>
    <row r="21" spans="1:22" ht="120" x14ac:dyDescent="0.25">
      <c r="A21" s="123" t="s">
        <v>151</v>
      </c>
      <c r="B21" s="152" t="s">
        <v>152</v>
      </c>
      <c r="C21" s="124" t="s">
        <v>1692</v>
      </c>
      <c r="D21" s="124" t="s">
        <v>1355</v>
      </c>
      <c r="E21" s="183" t="s">
        <v>1514</v>
      </c>
      <c r="F21" s="157" t="s">
        <v>76</v>
      </c>
      <c r="G21" s="158" t="s">
        <v>153</v>
      </c>
      <c r="H21" s="142" t="s">
        <v>79</v>
      </c>
      <c r="I21" s="124" t="s">
        <v>1693</v>
      </c>
      <c r="J21" s="194"/>
      <c r="K21" s="125">
        <v>2</v>
      </c>
      <c r="L21" s="126"/>
      <c r="M21" s="194"/>
      <c r="N21" s="248" t="s">
        <v>1126</v>
      </c>
      <c r="O21" s="248" t="s">
        <v>1172</v>
      </c>
      <c r="P21" s="248"/>
      <c r="Q21" s="248">
        <v>0.2</v>
      </c>
      <c r="R21" s="146"/>
      <c r="S21" s="364"/>
      <c r="T21" s="364"/>
      <c r="U21" s="364"/>
      <c r="V21" s="364"/>
    </row>
    <row r="22" spans="1:22" ht="45" x14ac:dyDescent="0.25">
      <c r="A22" s="166" t="s">
        <v>154</v>
      </c>
      <c r="B22" s="167" t="s">
        <v>155</v>
      </c>
      <c r="C22" s="168" t="s">
        <v>156</v>
      </c>
      <c r="D22" s="168" t="s">
        <v>157</v>
      </c>
      <c r="E22" s="189" t="s">
        <v>1313</v>
      </c>
      <c r="F22" s="169" t="s">
        <v>151</v>
      </c>
      <c r="G22" s="169" t="s">
        <v>153</v>
      </c>
      <c r="H22" s="170" t="s">
        <v>79</v>
      </c>
      <c r="I22" s="168" t="s">
        <v>159</v>
      </c>
      <c r="J22" s="198"/>
      <c r="K22" s="171">
        <v>3</v>
      </c>
      <c r="L22" s="172"/>
      <c r="M22" s="198"/>
      <c r="N22" s="253" t="s">
        <v>1131</v>
      </c>
      <c r="O22" s="253" t="s">
        <v>1177</v>
      </c>
      <c r="P22" s="253"/>
      <c r="Q22" s="253">
        <v>0.1429</v>
      </c>
      <c r="R22" s="173" t="s">
        <v>1694</v>
      </c>
      <c r="S22" s="168"/>
      <c r="T22" s="168"/>
      <c r="U22" s="168"/>
      <c r="V22" s="168"/>
    </row>
    <row r="23" spans="1:22" ht="45" x14ac:dyDescent="0.25">
      <c r="A23" s="148" t="s">
        <v>160</v>
      </c>
      <c r="B23" s="154" t="s">
        <v>161</v>
      </c>
      <c r="C23" s="89" t="s">
        <v>1354</v>
      </c>
      <c r="D23" s="185" t="s">
        <v>78</v>
      </c>
      <c r="E23" s="185" t="s">
        <v>78</v>
      </c>
      <c r="F23" s="161" t="s">
        <v>154</v>
      </c>
      <c r="G23" s="185" t="s">
        <v>78</v>
      </c>
      <c r="H23" s="149" t="s">
        <v>94</v>
      </c>
      <c r="I23" s="89" t="s">
        <v>78</v>
      </c>
      <c r="J23" s="199" t="s">
        <v>162</v>
      </c>
      <c r="K23" s="150">
        <v>5</v>
      </c>
      <c r="L23" s="151" t="s">
        <v>105</v>
      </c>
      <c r="M23" s="196"/>
      <c r="N23" s="250" t="s">
        <v>1131</v>
      </c>
      <c r="O23" s="250" t="s">
        <v>1176</v>
      </c>
      <c r="P23" s="250"/>
      <c r="Q23" s="250"/>
      <c r="R23" s="93"/>
      <c r="S23" s="363"/>
      <c r="T23" s="363"/>
      <c r="U23" s="363"/>
      <c r="V23" s="363"/>
    </row>
    <row r="24" spans="1:22" ht="60" x14ac:dyDescent="0.25">
      <c r="A24" s="137" t="s">
        <v>163</v>
      </c>
      <c r="B24" s="155" t="s">
        <v>164</v>
      </c>
      <c r="C24" s="138" t="s">
        <v>165</v>
      </c>
      <c r="D24" s="138" t="s">
        <v>166</v>
      </c>
      <c r="E24" s="186" t="s">
        <v>1314</v>
      </c>
      <c r="F24" s="163" t="s">
        <v>1330</v>
      </c>
      <c r="G24" s="162" t="s">
        <v>78</v>
      </c>
      <c r="H24" s="144" t="s">
        <v>94</v>
      </c>
      <c r="I24" s="138" t="s">
        <v>167</v>
      </c>
      <c r="J24" s="197"/>
      <c r="K24" s="139">
        <v>4</v>
      </c>
      <c r="L24" s="140"/>
      <c r="M24" s="197"/>
      <c r="N24" s="251" t="s">
        <v>1131</v>
      </c>
      <c r="O24" s="278" t="s">
        <v>1495</v>
      </c>
      <c r="P24" s="251"/>
      <c r="Q24" s="251" t="s">
        <v>1494</v>
      </c>
      <c r="R24" s="141"/>
      <c r="S24" s="138"/>
      <c r="T24" s="138"/>
      <c r="U24" s="138"/>
      <c r="V24" s="138"/>
    </row>
    <row r="25" spans="1:22" x14ac:dyDescent="0.25">
      <c r="A25" s="148" t="s">
        <v>168</v>
      </c>
      <c r="B25" s="154" t="s">
        <v>169</v>
      </c>
      <c r="C25" s="89" t="s">
        <v>170</v>
      </c>
      <c r="D25" s="185" t="s">
        <v>78</v>
      </c>
      <c r="E25" s="185" t="s">
        <v>78</v>
      </c>
      <c r="F25" s="161" t="s">
        <v>163</v>
      </c>
      <c r="G25" s="185" t="s">
        <v>78</v>
      </c>
      <c r="H25" s="149" t="s">
        <v>94</v>
      </c>
      <c r="I25" s="89" t="s">
        <v>78</v>
      </c>
      <c r="J25" s="196"/>
      <c r="K25" s="150">
        <v>5</v>
      </c>
      <c r="L25" s="151" t="s">
        <v>105</v>
      </c>
      <c r="M25" s="196"/>
      <c r="N25" s="250" t="s">
        <v>1131</v>
      </c>
      <c r="O25" s="250" t="s">
        <v>1176</v>
      </c>
      <c r="P25" s="250"/>
      <c r="Q25" s="250">
        <v>0.25</v>
      </c>
      <c r="R25" s="93"/>
      <c r="S25" s="363"/>
      <c r="T25" s="363"/>
      <c r="U25" s="363"/>
      <c r="V25" s="363"/>
    </row>
    <row r="26" spans="1:22" ht="30" x14ac:dyDescent="0.25">
      <c r="A26" s="148" t="s">
        <v>171</v>
      </c>
      <c r="B26" s="154" t="s">
        <v>172</v>
      </c>
      <c r="C26" s="89" t="s">
        <v>173</v>
      </c>
      <c r="D26" s="185" t="s">
        <v>78</v>
      </c>
      <c r="E26" s="185" t="s">
        <v>78</v>
      </c>
      <c r="F26" s="161" t="s">
        <v>163</v>
      </c>
      <c r="G26" s="185" t="s">
        <v>78</v>
      </c>
      <c r="H26" s="149" t="s">
        <v>94</v>
      </c>
      <c r="I26" s="89" t="s">
        <v>78</v>
      </c>
      <c r="J26" s="196"/>
      <c r="K26" s="150">
        <v>5</v>
      </c>
      <c r="L26" s="151" t="s">
        <v>105</v>
      </c>
      <c r="M26" s="196"/>
      <c r="N26" s="250" t="s">
        <v>1131</v>
      </c>
      <c r="O26" s="250" t="s">
        <v>1176</v>
      </c>
      <c r="P26" s="250"/>
      <c r="Q26" s="250">
        <v>0.25</v>
      </c>
      <c r="R26" s="93"/>
      <c r="S26" s="363"/>
      <c r="T26" s="363"/>
      <c r="U26" s="363"/>
      <c r="V26" s="363"/>
    </row>
    <row r="27" spans="1:22" ht="30" x14ac:dyDescent="0.25">
      <c r="A27" s="148" t="s">
        <v>174</v>
      </c>
      <c r="B27" s="154" t="s">
        <v>175</v>
      </c>
      <c r="C27" s="89" t="s">
        <v>1695</v>
      </c>
      <c r="D27" s="185" t="s">
        <v>78</v>
      </c>
      <c r="E27" s="185" t="s">
        <v>78</v>
      </c>
      <c r="F27" s="161" t="s">
        <v>163</v>
      </c>
      <c r="G27" s="185" t="s">
        <v>78</v>
      </c>
      <c r="H27" s="149" t="s">
        <v>94</v>
      </c>
      <c r="I27" s="89" t="s">
        <v>78</v>
      </c>
      <c r="J27" s="196"/>
      <c r="K27" s="150">
        <v>5</v>
      </c>
      <c r="L27" s="151" t="s">
        <v>105</v>
      </c>
      <c r="M27" s="196"/>
      <c r="N27" s="250" t="s">
        <v>1131</v>
      </c>
      <c r="O27" s="250" t="s">
        <v>1176</v>
      </c>
      <c r="P27" s="250"/>
      <c r="Q27" s="250">
        <v>0.25</v>
      </c>
      <c r="R27" s="93"/>
      <c r="S27" s="363"/>
      <c r="T27" s="363"/>
      <c r="U27" s="363"/>
      <c r="V27" s="363"/>
    </row>
    <row r="28" spans="1:22" ht="30" x14ac:dyDescent="0.25">
      <c r="A28" s="148" t="s">
        <v>177</v>
      </c>
      <c r="B28" s="154" t="s">
        <v>178</v>
      </c>
      <c r="C28" s="89" t="s">
        <v>179</v>
      </c>
      <c r="D28" s="185" t="s">
        <v>78</v>
      </c>
      <c r="E28" s="185" t="s">
        <v>78</v>
      </c>
      <c r="F28" s="161" t="s">
        <v>163</v>
      </c>
      <c r="G28" s="185" t="s">
        <v>78</v>
      </c>
      <c r="H28" s="149" t="s">
        <v>94</v>
      </c>
      <c r="I28" s="89" t="s">
        <v>78</v>
      </c>
      <c r="J28" s="196"/>
      <c r="K28" s="150">
        <v>5</v>
      </c>
      <c r="L28" s="151" t="s">
        <v>105</v>
      </c>
      <c r="M28" s="196"/>
      <c r="N28" s="250" t="s">
        <v>1131</v>
      </c>
      <c r="O28" s="250" t="s">
        <v>1176</v>
      </c>
      <c r="P28" s="250"/>
      <c r="Q28" s="250">
        <v>0.25</v>
      </c>
      <c r="R28" s="93"/>
      <c r="S28" s="363"/>
      <c r="T28" s="363"/>
      <c r="U28" s="363"/>
      <c r="V28" s="363"/>
    </row>
    <row r="29" spans="1:22" ht="45" x14ac:dyDescent="0.25">
      <c r="A29" s="166" t="s">
        <v>180</v>
      </c>
      <c r="B29" s="167" t="s">
        <v>181</v>
      </c>
      <c r="C29" s="168" t="s">
        <v>182</v>
      </c>
      <c r="D29" s="168" t="s">
        <v>183</v>
      </c>
      <c r="E29" s="189" t="s">
        <v>1315</v>
      </c>
      <c r="F29" s="169" t="s">
        <v>151</v>
      </c>
      <c r="G29" s="169" t="s">
        <v>153</v>
      </c>
      <c r="H29" s="170" t="s">
        <v>79</v>
      </c>
      <c r="I29" s="168" t="s">
        <v>159</v>
      </c>
      <c r="J29" s="198"/>
      <c r="K29" s="171">
        <v>3</v>
      </c>
      <c r="L29" s="172"/>
      <c r="M29" s="198"/>
      <c r="N29" s="253" t="s">
        <v>1132</v>
      </c>
      <c r="O29" s="253" t="s">
        <v>1177</v>
      </c>
      <c r="P29" s="253"/>
      <c r="Q29" s="253">
        <v>0.1429</v>
      </c>
      <c r="R29" s="173" t="s">
        <v>1696</v>
      </c>
      <c r="S29" s="168"/>
      <c r="T29" s="168"/>
      <c r="U29" s="168"/>
      <c r="V29" s="168"/>
    </row>
    <row r="30" spans="1:22" ht="30" x14ac:dyDescent="0.25">
      <c r="A30" s="148" t="s">
        <v>184</v>
      </c>
      <c r="B30" s="154" t="s">
        <v>185</v>
      </c>
      <c r="C30" s="89" t="s">
        <v>186</v>
      </c>
      <c r="D30" s="185" t="s">
        <v>78</v>
      </c>
      <c r="E30" s="185" t="s">
        <v>78</v>
      </c>
      <c r="F30" s="161" t="s">
        <v>180</v>
      </c>
      <c r="G30" s="161" t="s">
        <v>78</v>
      </c>
      <c r="H30" s="149" t="s">
        <v>94</v>
      </c>
      <c r="I30" s="89" t="s">
        <v>78</v>
      </c>
      <c r="J30" s="199" t="s">
        <v>162</v>
      </c>
      <c r="K30" s="150">
        <v>5</v>
      </c>
      <c r="L30" s="151" t="s">
        <v>105</v>
      </c>
      <c r="M30" s="196"/>
      <c r="N30" s="250" t="s">
        <v>1132</v>
      </c>
      <c r="O30" s="250" t="s">
        <v>1176</v>
      </c>
      <c r="P30" s="250"/>
      <c r="Q30" s="250"/>
      <c r="R30" s="93"/>
      <c r="S30" s="363"/>
      <c r="T30" s="363"/>
      <c r="U30" s="363"/>
      <c r="V30" s="363"/>
    </row>
    <row r="31" spans="1:22" ht="75" x14ac:dyDescent="0.25">
      <c r="A31" s="137" t="s">
        <v>187</v>
      </c>
      <c r="B31" s="155" t="s">
        <v>188</v>
      </c>
      <c r="C31" s="138" t="s">
        <v>189</v>
      </c>
      <c r="D31" s="138" t="s">
        <v>190</v>
      </c>
      <c r="E31" s="186" t="s">
        <v>1316</v>
      </c>
      <c r="F31" s="163" t="s">
        <v>1331</v>
      </c>
      <c r="G31" s="162" t="s">
        <v>78</v>
      </c>
      <c r="H31" s="144" t="s">
        <v>94</v>
      </c>
      <c r="I31" s="138" t="s">
        <v>191</v>
      </c>
      <c r="J31" s="197"/>
      <c r="K31" s="139">
        <v>4</v>
      </c>
      <c r="L31" s="140"/>
      <c r="M31" s="197"/>
      <c r="N31" s="251" t="s">
        <v>1132</v>
      </c>
      <c r="O31" s="278" t="s">
        <v>1495</v>
      </c>
      <c r="P31" s="251"/>
      <c r="Q31" s="251" t="s">
        <v>1494</v>
      </c>
      <c r="R31" s="141"/>
      <c r="S31" s="366"/>
      <c r="T31" s="366"/>
      <c r="U31" s="366"/>
      <c r="V31" s="366"/>
    </row>
    <row r="32" spans="1:22" ht="30" x14ac:dyDescent="0.25">
      <c r="A32" s="148" t="s">
        <v>192</v>
      </c>
      <c r="B32" s="154" t="s">
        <v>193</v>
      </c>
      <c r="C32" s="89" t="s">
        <v>194</v>
      </c>
      <c r="D32" s="185" t="s">
        <v>78</v>
      </c>
      <c r="E32" s="185" t="s">
        <v>78</v>
      </c>
      <c r="F32" s="161" t="s">
        <v>187</v>
      </c>
      <c r="G32" s="185" t="s">
        <v>78</v>
      </c>
      <c r="H32" s="149" t="s">
        <v>94</v>
      </c>
      <c r="I32" s="185" t="s">
        <v>78</v>
      </c>
      <c r="J32" s="196"/>
      <c r="K32" s="150">
        <v>5</v>
      </c>
      <c r="L32" s="151" t="s">
        <v>105</v>
      </c>
      <c r="M32" s="196"/>
      <c r="N32" s="250" t="s">
        <v>1132</v>
      </c>
      <c r="O32" s="250" t="s">
        <v>1176</v>
      </c>
      <c r="P32" s="250"/>
      <c r="Q32" s="250">
        <v>0.2</v>
      </c>
      <c r="R32" s="93"/>
      <c r="S32" s="363"/>
      <c r="T32" s="363"/>
      <c r="U32" s="363"/>
      <c r="V32" s="363"/>
    </row>
    <row r="33" spans="1:22" ht="30" x14ac:dyDescent="0.25">
      <c r="A33" s="148" t="s">
        <v>195</v>
      </c>
      <c r="B33" s="154" t="s">
        <v>196</v>
      </c>
      <c r="C33" s="89" t="s">
        <v>197</v>
      </c>
      <c r="D33" s="185" t="s">
        <v>78</v>
      </c>
      <c r="E33" s="185" t="s">
        <v>78</v>
      </c>
      <c r="F33" s="161" t="s">
        <v>187</v>
      </c>
      <c r="G33" s="185" t="s">
        <v>78</v>
      </c>
      <c r="H33" s="149" t="s">
        <v>94</v>
      </c>
      <c r="I33" s="185" t="s">
        <v>78</v>
      </c>
      <c r="J33" s="196"/>
      <c r="K33" s="150">
        <v>5</v>
      </c>
      <c r="L33" s="151" t="s">
        <v>105</v>
      </c>
      <c r="M33" s="196"/>
      <c r="N33" s="250" t="s">
        <v>1132</v>
      </c>
      <c r="O33" s="250" t="s">
        <v>1176</v>
      </c>
      <c r="P33" s="250"/>
      <c r="Q33" s="250">
        <v>0.2</v>
      </c>
      <c r="R33" s="93"/>
      <c r="S33" s="363"/>
      <c r="T33" s="363"/>
      <c r="U33" s="363"/>
      <c r="V33" s="363"/>
    </row>
    <row r="34" spans="1:22" ht="30" x14ac:dyDescent="0.25">
      <c r="A34" s="148" t="s">
        <v>198</v>
      </c>
      <c r="B34" s="154" t="s">
        <v>199</v>
      </c>
      <c r="C34" s="89" t="s">
        <v>1697</v>
      </c>
      <c r="D34" s="185" t="s">
        <v>78</v>
      </c>
      <c r="E34" s="185" t="s">
        <v>78</v>
      </c>
      <c r="F34" s="161" t="s">
        <v>187</v>
      </c>
      <c r="G34" s="185" t="s">
        <v>78</v>
      </c>
      <c r="H34" s="149" t="s">
        <v>94</v>
      </c>
      <c r="I34" s="185" t="s">
        <v>78</v>
      </c>
      <c r="J34" s="196"/>
      <c r="K34" s="150">
        <v>5</v>
      </c>
      <c r="L34" s="151" t="s">
        <v>105</v>
      </c>
      <c r="M34" s="196"/>
      <c r="N34" s="250" t="s">
        <v>1132</v>
      </c>
      <c r="O34" s="250" t="s">
        <v>1176</v>
      </c>
      <c r="P34" s="250"/>
      <c r="Q34" s="250">
        <v>0.2</v>
      </c>
      <c r="R34" s="93"/>
      <c r="S34" s="363"/>
      <c r="T34" s="363"/>
      <c r="U34" s="363"/>
      <c r="V34" s="363"/>
    </row>
    <row r="35" spans="1:22" ht="30" x14ac:dyDescent="0.25">
      <c r="A35" s="148" t="s">
        <v>200</v>
      </c>
      <c r="B35" s="154" t="s">
        <v>201</v>
      </c>
      <c r="C35" s="89" t="s">
        <v>202</v>
      </c>
      <c r="D35" s="185" t="s">
        <v>78</v>
      </c>
      <c r="E35" s="185" t="s">
        <v>78</v>
      </c>
      <c r="F35" s="161" t="s">
        <v>187</v>
      </c>
      <c r="G35" s="185" t="s">
        <v>78</v>
      </c>
      <c r="H35" s="149" t="s">
        <v>94</v>
      </c>
      <c r="I35" s="185" t="s">
        <v>78</v>
      </c>
      <c r="J35" s="196"/>
      <c r="K35" s="150">
        <v>5</v>
      </c>
      <c r="L35" s="151" t="s">
        <v>105</v>
      </c>
      <c r="M35" s="196"/>
      <c r="N35" s="250" t="s">
        <v>1132</v>
      </c>
      <c r="O35" s="250" t="s">
        <v>1176</v>
      </c>
      <c r="P35" s="250"/>
      <c r="Q35" s="250">
        <v>0.2</v>
      </c>
      <c r="R35" s="93"/>
      <c r="S35" s="363"/>
      <c r="T35" s="363"/>
      <c r="U35" s="363"/>
      <c r="V35" s="363"/>
    </row>
    <row r="36" spans="1:22" ht="30" x14ac:dyDescent="0.25">
      <c r="A36" s="148" t="s">
        <v>203</v>
      </c>
      <c r="B36" s="154" t="s">
        <v>204</v>
      </c>
      <c r="C36" s="89" t="s">
        <v>205</v>
      </c>
      <c r="D36" s="185" t="s">
        <v>78</v>
      </c>
      <c r="E36" s="185" t="s">
        <v>78</v>
      </c>
      <c r="F36" s="161" t="s">
        <v>187</v>
      </c>
      <c r="G36" s="185" t="s">
        <v>78</v>
      </c>
      <c r="H36" s="149" t="s">
        <v>94</v>
      </c>
      <c r="I36" s="185" t="s">
        <v>78</v>
      </c>
      <c r="J36" s="196"/>
      <c r="K36" s="150">
        <v>5</v>
      </c>
      <c r="L36" s="151" t="s">
        <v>105</v>
      </c>
      <c r="M36" s="196"/>
      <c r="N36" s="250" t="s">
        <v>1132</v>
      </c>
      <c r="O36" s="250" t="s">
        <v>1176</v>
      </c>
      <c r="P36" s="250"/>
      <c r="Q36" s="250">
        <v>0.2</v>
      </c>
      <c r="R36" s="93"/>
      <c r="S36" s="363"/>
      <c r="T36" s="363"/>
      <c r="U36" s="363"/>
      <c r="V36" s="363"/>
    </row>
    <row r="37" spans="1:22" ht="75" x14ac:dyDescent="0.25">
      <c r="A37" s="166" t="s">
        <v>206</v>
      </c>
      <c r="B37" s="167" t="s">
        <v>207</v>
      </c>
      <c r="C37" s="168" t="s">
        <v>208</v>
      </c>
      <c r="D37" s="168" t="s">
        <v>209</v>
      </c>
      <c r="E37" s="189" t="s">
        <v>1317</v>
      </c>
      <c r="F37" s="169" t="s">
        <v>151</v>
      </c>
      <c r="G37" s="169" t="s">
        <v>153</v>
      </c>
      <c r="H37" s="170" t="s">
        <v>79</v>
      </c>
      <c r="I37" s="168" t="s">
        <v>159</v>
      </c>
      <c r="J37" s="198"/>
      <c r="K37" s="171">
        <v>3</v>
      </c>
      <c r="L37" s="172"/>
      <c r="M37" s="198"/>
      <c r="N37" s="253" t="s">
        <v>1132</v>
      </c>
      <c r="O37" s="253" t="s">
        <v>1177</v>
      </c>
      <c r="P37" s="253"/>
      <c r="Q37" s="253">
        <v>0.1429</v>
      </c>
      <c r="R37" s="173" t="s">
        <v>1698</v>
      </c>
      <c r="S37" s="168"/>
      <c r="T37" s="168"/>
      <c r="U37" s="168"/>
      <c r="V37" s="168"/>
    </row>
    <row r="38" spans="1:22" ht="30" x14ac:dyDescent="0.25">
      <c r="A38" s="148" t="s">
        <v>210</v>
      </c>
      <c r="B38" s="154" t="s">
        <v>211</v>
      </c>
      <c r="C38" s="89" t="s">
        <v>212</v>
      </c>
      <c r="D38" s="185" t="s">
        <v>78</v>
      </c>
      <c r="E38" s="185" t="s">
        <v>78</v>
      </c>
      <c r="F38" s="161" t="s">
        <v>206</v>
      </c>
      <c r="G38" s="161" t="s">
        <v>78</v>
      </c>
      <c r="H38" s="149" t="s">
        <v>94</v>
      </c>
      <c r="I38" s="185" t="s">
        <v>78</v>
      </c>
      <c r="J38" s="199" t="s">
        <v>162</v>
      </c>
      <c r="K38" s="150">
        <v>5</v>
      </c>
      <c r="L38" s="151" t="s">
        <v>105</v>
      </c>
      <c r="M38" s="196"/>
      <c r="N38" s="250" t="s">
        <v>1132</v>
      </c>
      <c r="O38" s="250" t="s">
        <v>1176</v>
      </c>
      <c r="P38" s="250"/>
      <c r="Q38" s="250"/>
      <c r="R38" s="93"/>
      <c r="S38" s="363"/>
      <c r="T38" s="363"/>
      <c r="U38" s="363"/>
      <c r="V38" s="363"/>
    </row>
    <row r="39" spans="1:22" ht="75" x14ac:dyDescent="0.25">
      <c r="A39" s="137" t="s">
        <v>213</v>
      </c>
      <c r="B39" s="155" t="s">
        <v>214</v>
      </c>
      <c r="C39" s="138" t="s">
        <v>215</v>
      </c>
      <c r="D39" s="138" t="s">
        <v>216</v>
      </c>
      <c r="E39" s="186" t="s">
        <v>1318</v>
      </c>
      <c r="F39" s="163" t="s">
        <v>1332</v>
      </c>
      <c r="G39" s="162" t="s">
        <v>78</v>
      </c>
      <c r="H39" s="144" t="s">
        <v>94</v>
      </c>
      <c r="I39" s="138" t="s">
        <v>217</v>
      </c>
      <c r="J39" s="197"/>
      <c r="K39" s="139">
        <v>4</v>
      </c>
      <c r="L39" s="140"/>
      <c r="M39" s="197"/>
      <c r="N39" s="251" t="s">
        <v>1132</v>
      </c>
      <c r="O39" s="278" t="s">
        <v>1495</v>
      </c>
      <c r="P39" s="251"/>
      <c r="Q39" s="251" t="s">
        <v>1494</v>
      </c>
      <c r="R39" s="141"/>
      <c r="S39" s="138"/>
      <c r="T39" s="138"/>
      <c r="U39" s="138"/>
      <c r="V39" s="138"/>
    </row>
    <row r="40" spans="1:22" ht="31.5" customHeight="1" x14ac:dyDescent="0.25">
      <c r="A40" s="148" t="s">
        <v>218</v>
      </c>
      <c r="B40" s="154" t="s">
        <v>219</v>
      </c>
      <c r="C40" s="89" t="s">
        <v>220</v>
      </c>
      <c r="D40" s="185" t="s">
        <v>78</v>
      </c>
      <c r="E40" s="185" t="s">
        <v>78</v>
      </c>
      <c r="F40" s="161" t="s">
        <v>213</v>
      </c>
      <c r="G40" s="185" t="s">
        <v>78</v>
      </c>
      <c r="H40" s="149" t="s">
        <v>94</v>
      </c>
      <c r="I40" s="185" t="s">
        <v>78</v>
      </c>
      <c r="J40" s="196"/>
      <c r="K40" s="150">
        <v>5</v>
      </c>
      <c r="L40" s="151" t="s">
        <v>105</v>
      </c>
      <c r="M40" s="196"/>
      <c r="N40" s="250" t="s">
        <v>1132</v>
      </c>
      <c r="O40" s="250" t="s">
        <v>1176</v>
      </c>
      <c r="P40" s="250"/>
      <c r="Q40" s="250">
        <v>0.5</v>
      </c>
      <c r="R40" s="93"/>
      <c r="S40" s="89"/>
      <c r="T40" s="89"/>
      <c r="U40" s="89"/>
      <c r="V40" s="89"/>
    </row>
    <row r="41" spans="1:22" ht="30" x14ac:dyDescent="0.25">
      <c r="A41" s="148" t="s">
        <v>221</v>
      </c>
      <c r="B41" s="154" t="s">
        <v>222</v>
      </c>
      <c r="C41" s="89" t="s">
        <v>223</v>
      </c>
      <c r="D41" s="185" t="s">
        <v>78</v>
      </c>
      <c r="E41" s="185" t="s">
        <v>78</v>
      </c>
      <c r="F41" s="161" t="s">
        <v>213</v>
      </c>
      <c r="G41" s="185" t="s">
        <v>78</v>
      </c>
      <c r="H41" s="149" t="s">
        <v>94</v>
      </c>
      <c r="I41" s="185" t="s">
        <v>78</v>
      </c>
      <c r="J41" s="196"/>
      <c r="K41" s="150">
        <v>5</v>
      </c>
      <c r="L41" s="151" t="s">
        <v>105</v>
      </c>
      <c r="M41" s="196"/>
      <c r="N41" s="250" t="s">
        <v>1132</v>
      </c>
      <c r="O41" s="250" t="s">
        <v>1176</v>
      </c>
      <c r="P41" s="250"/>
      <c r="Q41" s="250">
        <v>0.5</v>
      </c>
      <c r="R41" s="93"/>
      <c r="S41" s="89"/>
      <c r="T41" s="89"/>
      <c r="U41" s="89"/>
      <c r="V41" s="89"/>
    </row>
    <row r="42" spans="1:22" ht="45" x14ac:dyDescent="0.25">
      <c r="A42" s="166" t="s">
        <v>224</v>
      </c>
      <c r="B42" s="167" t="s">
        <v>225</v>
      </c>
      <c r="C42" s="168" t="s">
        <v>226</v>
      </c>
      <c r="D42" s="168" t="s">
        <v>227</v>
      </c>
      <c r="E42" s="189" t="s">
        <v>1319</v>
      </c>
      <c r="F42" s="169" t="s">
        <v>151</v>
      </c>
      <c r="G42" s="169" t="s">
        <v>153</v>
      </c>
      <c r="H42" s="170" t="s">
        <v>79</v>
      </c>
      <c r="I42" s="168" t="s">
        <v>228</v>
      </c>
      <c r="J42" s="198"/>
      <c r="K42" s="171">
        <v>3</v>
      </c>
      <c r="L42" s="172"/>
      <c r="M42" s="198"/>
      <c r="N42" s="253" t="s">
        <v>1132</v>
      </c>
      <c r="O42" s="253" t="s">
        <v>1177</v>
      </c>
      <c r="P42" s="253"/>
      <c r="Q42" s="253">
        <v>0.1429</v>
      </c>
      <c r="R42" s="173" t="s">
        <v>1699</v>
      </c>
      <c r="S42" s="168"/>
      <c r="T42" s="168"/>
      <c r="U42" s="168"/>
      <c r="V42" s="168"/>
    </row>
    <row r="43" spans="1:22" ht="30" x14ac:dyDescent="0.25">
      <c r="A43" s="148" t="s">
        <v>229</v>
      </c>
      <c r="B43" s="154" t="s">
        <v>230</v>
      </c>
      <c r="C43" s="89" t="s">
        <v>231</v>
      </c>
      <c r="D43" s="185" t="s">
        <v>78</v>
      </c>
      <c r="E43" s="185" t="s">
        <v>78</v>
      </c>
      <c r="F43" s="161" t="s">
        <v>224</v>
      </c>
      <c r="G43" s="161" t="s">
        <v>78</v>
      </c>
      <c r="H43" s="149" t="s">
        <v>94</v>
      </c>
      <c r="I43" s="185" t="s">
        <v>78</v>
      </c>
      <c r="J43" s="196"/>
      <c r="K43" s="150">
        <v>5</v>
      </c>
      <c r="L43" s="151" t="s">
        <v>105</v>
      </c>
      <c r="M43" s="196"/>
      <c r="N43" s="250" t="s">
        <v>1132</v>
      </c>
      <c r="O43" s="250" t="s">
        <v>1176</v>
      </c>
      <c r="P43" s="250"/>
      <c r="Q43" s="250"/>
      <c r="R43" s="93"/>
      <c r="S43" s="89"/>
      <c r="T43" s="89"/>
      <c r="U43" s="89"/>
      <c r="V43" s="89"/>
    </row>
    <row r="44" spans="1:22" ht="75" x14ac:dyDescent="0.25">
      <c r="A44" s="137" t="s">
        <v>232</v>
      </c>
      <c r="B44" s="155" t="s">
        <v>233</v>
      </c>
      <c r="C44" s="138" t="s">
        <v>234</v>
      </c>
      <c r="D44" s="138" t="s">
        <v>235</v>
      </c>
      <c r="E44" s="186" t="s">
        <v>1320</v>
      </c>
      <c r="F44" s="163" t="s">
        <v>1333</v>
      </c>
      <c r="G44" s="162" t="s">
        <v>78</v>
      </c>
      <c r="H44" s="144" t="s">
        <v>94</v>
      </c>
      <c r="I44" s="138" t="s">
        <v>236</v>
      </c>
      <c r="J44" s="197"/>
      <c r="K44" s="139">
        <v>4</v>
      </c>
      <c r="L44" s="140"/>
      <c r="M44" s="197"/>
      <c r="N44" s="251" t="s">
        <v>1132</v>
      </c>
      <c r="O44" s="278" t="s">
        <v>1495</v>
      </c>
      <c r="P44" s="251"/>
      <c r="Q44" s="251" t="s">
        <v>1494</v>
      </c>
      <c r="R44" s="141"/>
      <c r="S44" s="138"/>
      <c r="T44" s="138"/>
      <c r="U44" s="138"/>
      <c r="V44" s="138"/>
    </row>
    <row r="45" spans="1:22" ht="38.1" customHeight="1" x14ac:dyDescent="0.25">
      <c r="A45" s="148" t="s">
        <v>237</v>
      </c>
      <c r="B45" s="154" t="s">
        <v>238</v>
      </c>
      <c r="C45" s="89" t="s">
        <v>239</v>
      </c>
      <c r="D45" s="185" t="s">
        <v>78</v>
      </c>
      <c r="E45" s="185" t="s">
        <v>78</v>
      </c>
      <c r="F45" s="161" t="s">
        <v>232</v>
      </c>
      <c r="G45" s="185" t="s">
        <v>78</v>
      </c>
      <c r="H45" s="149" t="s">
        <v>94</v>
      </c>
      <c r="I45" s="185" t="s">
        <v>78</v>
      </c>
      <c r="J45" s="196"/>
      <c r="K45" s="150">
        <v>5</v>
      </c>
      <c r="L45" s="151" t="s">
        <v>105</v>
      </c>
      <c r="M45" s="196"/>
      <c r="N45" s="250" t="s">
        <v>1132</v>
      </c>
      <c r="O45" s="250" t="s">
        <v>1176</v>
      </c>
      <c r="P45" s="250"/>
      <c r="Q45" s="250">
        <v>0.33329999999999999</v>
      </c>
      <c r="R45" s="93"/>
      <c r="S45" s="89"/>
      <c r="T45" s="89"/>
      <c r="U45" s="89"/>
      <c r="V45" s="89"/>
    </row>
    <row r="46" spans="1:22" ht="30" x14ac:dyDescent="0.25">
      <c r="A46" s="148" t="s">
        <v>240</v>
      </c>
      <c r="B46" s="154" t="s">
        <v>241</v>
      </c>
      <c r="C46" s="89" t="s">
        <v>1629</v>
      </c>
      <c r="D46" s="185" t="s">
        <v>78</v>
      </c>
      <c r="E46" s="185" t="s">
        <v>78</v>
      </c>
      <c r="F46" s="161" t="s">
        <v>232</v>
      </c>
      <c r="G46" s="185" t="s">
        <v>78</v>
      </c>
      <c r="H46" s="149" t="s">
        <v>94</v>
      </c>
      <c r="I46" s="185" t="s">
        <v>78</v>
      </c>
      <c r="J46" s="196"/>
      <c r="K46" s="150">
        <v>5</v>
      </c>
      <c r="L46" s="151" t="s">
        <v>105</v>
      </c>
      <c r="M46" s="196"/>
      <c r="N46" s="250" t="s">
        <v>1132</v>
      </c>
      <c r="O46" s="250" t="s">
        <v>1176</v>
      </c>
      <c r="P46" s="250"/>
      <c r="Q46" s="250">
        <v>0.33329999999999999</v>
      </c>
      <c r="R46" s="93"/>
      <c r="S46" s="89"/>
      <c r="T46" s="89"/>
      <c r="U46" s="89"/>
      <c r="V46" s="89"/>
    </row>
    <row r="47" spans="1:22" x14ac:dyDescent="0.25">
      <c r="A47" s="148" t="s">
        <v>242</v>
      </c>
      <c r="B47" s="154" t="s">
        <v>243</v>
      </c>
      <c r="C47" s="89" t="s">
        <v>244</v>
      </c>
      <c r="D47" s="185" t="s">
        <v>78</v>
      </c>
      <c r="E47" s="185" t="s">
        <v>78</v>
      </c>
      <c r="F47" s="161" t="s">
        <v>232</v>
      </c>
      <c r="G47" s="185" t="s">
        <v>78</v>
      </c>
      <c r="H47" s="149" t="s">
        <v>94</v>
      </c>
      <c r="I47" s="185" t="s">
        <v>78</v>
      </c>
      <c r="J47" s="196"/>
      <c r="K47" s="150">
        <v>5</v>
      </c>
      <c r="L47" s="151" t="s">
        <v>105</v>
      </c>
      <c r="M47" s="196"/>
      <c r="N47" s="250" t="s">
        <v>1132</v>
      </c>
      <c r="O47" s="250" t="s">
        <v>1176</v>
      </c>
      <c r="P47" s="250"/>
      <c r="Q47" s="250">
        <v>0.33339999999999997</v>
      </c>
      <c r="R47" s="93"/>
      <c r="S47" s="89"/>
      <c r="T47" s="89"/>
      <c r="U47" s="89"/>
      <c r="V47" s="89"/>
    </row>
    <row r="48" spans="1:22" ht="46.5" customHeight="1" x14ac:dyDescent="0.25">
      <c r="A48" s="166" t="s">
        <v>245</v>
      </c>
      <c r="B48" s="167" t="s">
        <v>246</v>
      </c>
      <c r="C48" s="168" t="s">
        <v>247</v>
      </c>
      <c r="D48" s="168" t="s">
        <v>248</v>
      </c>
      <c r="E48" s="189" t="s">
        <v>1321</v>
      </c>
      <c r="F48" s="169" t="s">
        <v>151</v>
      </c>
      <c r="G48" s="169" t="s">
        <v>153</v>
      </c>
      <c r="H48" s="170" t="s">
        <v>79</v>
      </c>
      <c r="I48" s="168" t="s">
        <v>228</v>
      </c>
      <c r="J48" s="198"/>
      <c r="K48" s="171">
        <v>3</v>
      </c>
      <c r="L48" s="172"/>
      <c r="M48" s="198"/>
      <c r="N48" s="253" t="s">
        <v>1132</v>
      </c>
      <c r="O48" s="253" t="s">
        <v>1177</v>
      </c>
      <c r="P48" s="253"/>
      <c r="Q48" s="253">
        <v>0.1429</v>
      </c>
      <c r="R48" s="173" t="s">
        <v>1700</v>
      </c>
      <c r="S48" s="168"/>
      <c r="T48" s="168"/>
      <c r="U48" s="168"/>
      <c r="V48" s="168"/>
    </row>
    <row r="49" spans="1:22" ht="30" x14ac:dyDescent="0.25">
      <c r="A49" s="148" t="s">
        <v>249</v>
      </c>
      <c r="B49" s="154" t="s">
        <v>250</v>
      </c>
      <c r="C49" s="89" t="s">
        <v>1125</v>
      </c>
      <c r="D49" s="185" t="s">
        <v>78</v>
      </c>
      <c r="E49" s="185" t="s">
        <v>78</v>
      </c>
      <c r="F49" s="161" t="s">
        <v>245</v>
      </c>
      <c r="G49" s="185" t="s">
        <v>78</v>
      </c>
      <c r="H49" s="149" t="s">
        <v>94</v>
      </c>
      <c r="I49" s="185" t="s">
        <v>78</v>
      </c>
      <c r="J49" s="196"/>
      <c r="K49" s="150">
        <v>5</v>
      </c>
      <c r="L49" s="151" t="s">
        <v>105</v>
      </c>
      <c r="M49" s="196"/>
      <c r="N49" s="250" t="s">
        <v>1132</v>
      </c>
      <c r="O49" s="250" t="s">
        <v>1176</v>
      </c>
      <c r="P49" s="250"/>
      <c r="Q49" s="250"/>
      <c r="R49" s="93"/>
      <c r="S49" s="89"/>
      <c r="T49" s="89"/>
      <c r="U49" s="89"/>
      <c r="V49" s="89"/>
    </row>
    <row r="50" spans="1:22" ht="75" x14ac:dyDescent="0.25">
      <c r="A50" s="137" t="s">
        <v>251</v>
      </c>
      <c r="B50" s="155" t="s">
        <v>252</v>
      </c>
      <c r="C50" s="138" t="s">
        <v>253</v>
      </c>
      <c r="D50" s="138" t="s">
        <v>254</v>
      </c>
      <c r="E50" s="186" t="s">
        <v>1322</v>
      </c>
      <c r="F50" s="163" t="s">
        <v>1334</v>
      </c>
      <c r="G50" s="162" t="s">
        <v>78</v>
      </c>
      <c r="H50" s="144" t="s">
        <v>94</v>
      </c>
      <c r="I50" s="138" t="s">
        <v>255</v>
      </c>
      <c r="J50" s="197"/>
      <c r="K50" s="139">
        <v>4</v>
      </c>
      <c r="L50" s="140"/>
      <c r="M50" s="197"/>
      <c r="N50" s="251" t="s">
        <v>1132</v>
      </c>
      <c r="O50" s="278" t="s">
        <v>1495</v>
      </c>
      <c r="P50" s="251"/>
      <c r="Q50" s="251" t="s">
        <v>1494</v>
      </c>
      <c r="R50" s="141"/>
      <c r="S50" s="138"/>
      <c r="T50" s="138"/>
      <c r="U50" s="138"/>
      <c r="V50" s="138"/>
    </row>
    <row r="51" spans="1:22" ht="27.6" customHeight="1" x14ac:dyDescent="0.25">
      <c r="A51" s="148" t="s">
        <v>256</v>
      </c>
      <c r="B51" s="154" t="s">
        <v>257</v>
      </c>
      <c r="C51" s="89" t="s">
        <v>258</v>
      </c>
      <c r="D51" s="185" t="s">
        <v>78</v>
      </c>
      <c r="E51" s="185" t="s">
        <v>78</v>
      </c>
      <c r="F51" s="161" t="s">
        <v>251</v>
      </c>
      <c r="G51" s="185" t="s">
        <v>78</v>
      </c>
      <c r="H51" s="149" t="s">
        <v>94</v>
      </c>
      <c r="I51" s="185" t="s">
        <v>78</v>
      </c>
      <c r="J51" s="196"/>
      <c r="K51" s="150">
        <v>5</v>
      </c>
      <c r="L51" s="151" t="s">
        <v>105</v>
      </c>
      <c r="M51" s="196"/>
      <c r="N51" s="250" t="s">
        <v>1132</v>
      </c>
      <c r="O51" s="250" t="s">
        <v>1176</v>
      </c>
      <c r="P51" s="250"/>
      <c r="Q51" s="250">
        <v>0.25</v>
      </c>
      <c r="R51" s="93"/>
      <c r="S51" s="89"/>
      <c r="T51" s="89"/>
      <c r="U51" s="89"/>
      <c r="V51" s="89"/>
    </row>
    <row r="52" spans="1:22" x14ac:dyDescent="0.25">
      <c r="A52" s="148" t="s">
        <v>259</v>
      </c>
      <c r="B52" s="154" t="s">
        <v>260</v>
      </c>
      <c r="C52" s="89" t="s">
        <v>261</v>
      </c>
      <c r="D52" s="185" t="s">
        <v>78</v>
      </c>
      <c r="E52" s="185" t="s">
        <v>78</v>
      </c>
      <c r="F52" s="161" t="s">
        <v>251</v>
      </c>
      <c r="G52" s="185" t="s">
        <v>78</v>
      </c>
      <c r="H52" s="149" t="s">
        <v>94</v>
      </c>
      <c r="I52" s="185" t="s">
        <v>78</v>
      </c>
      <c r="J52" s="196"/>
      <c r="K52" s="150">
        <v>5</v>
      </c>
      <c r="L52" s="151" t="s">
        <v>105</v>
      </c>
      <c r="M52" s="196"/>
      <c r="N52" s="250" t="s">
        <v>1132</v>
      </c>
      <c r="O52" s="250" t="s">
        <v>1176</v>
      </c>
      <c r="P52" s="250"/>
      <c r="Q52" s="250">
        <v>0.25</v>
      </c>
      <c r="R52" s="93"/>
      <c r="S52" s="89"/>
      <c r="T52" s="89"/>
      <c r="U52" s="89"/>
      <c r="V52" s="89"/>
    </row>
    <row r="53" spans="1:22" ht="30" x14ac:dyDescent="0.25">
      <c r="A53" s="148" t="s">
        <v>262</v>
      </c>
      <c r="B53" s="154" t="s">
        <v>263</v>
      </c>
      <c r="C53" s="89" t="s">
        <v>264</v>
      </c>
      <c r="D53" s="185" t="s">
        <v>78</v>
      </c>
      <c r="E53" s="185" t="s">
        <v>78</v>
      </c>
      <c r="F53" s="161" t="s">
        <v>251</v>
      </c>
      <c r="G53" s="185" t="s">
        <v>78</v>
      </c>
      <c r="H53" s="149" t="s">
        <v>94</v>
      </c>
      <c r="I53" s="185" t="s">
        <v>78</v>
      </c>
      <c r="J53" s="196"/>
      <c r="K53" s="150">
        <v>5</v>
      </c>
      <c r="L53" s="151" t="s">
        <v>105</v>
      </c>
      <c r="M53" s="196"/>
      <c r="N53" s="250" t="s">
        <v>1132</v>
      </c>
      <c r="O53" s="250" t="s">
        <v>1176</v>
      </c>
      <c r="P53" s="250"/>
      <c r="Q53" s="250">
        <v>0.25</v>
      </c>
      <c r="R53" s="93"/>
      <c r="S53" s="89"/>
      <c r="T53" s="89"/>
      <c r="U53" s="89"/>
      <c r="V53" s="89"/>
    </row>
    <row r="54" spans="1:22" x14ac:dyDescent="0.25">
      <c r="A54" s="148" t="s">
        <v>265</v>
      </c>
      <c r="B54" s="154" t="s">
        <v>266</v>
      </c>
      <c r="C54" s="89" t="s">
        <v>267</v>
      </c>
      <c r="D54" s="185" t="s">
        <v>78</v>
      </c>
      <c r="E54" s="185" t="s">
        <v>78</v>
      </c>
      <c r="F54" s="161" t="s">
        <v>251</v>
      </c>
      <c r="G54" s="185" t="s">
        <v>78</v>
      </c>
      <c r="H54" s="149" t="s">
        <v>94</v>
      </c>
      <c r="I54" s="185" t="s">
        <v>78</v>
      </c>
      <c r="J54" s="196"/>
      <c r="K54" s="150">
        <v>5</v>
      </c>
      <c r="L54" s="151" t="s">
        <v>105</v>
      </c>
      <c r="M54" s="196"/>
      <c r="N54" s="250" t="s">
        <v>1132</v>
      </c>
      <c r="O54" s="250" t="s">
        <v>1176</v>
      </c>
      <c r="P54" s="250"/>
      <c r="Q54" s="250">
        <v>0.25</v>
      </c>
      <c r="R54" s="93"/>
      <c r="S54" s="89"/>
      <c r="T54" s="89"/>
      <c r="U54" s="89"/>
      <c r="V54" s="89"/>
    </row>
    <row r="55" spans="1:22" ht="90" x14ac:dyDescent="0.25">
      <c r="A55" s="166" t="s">
        <v>268</v>
      </c>
      <c r="B55" s="167" t="s">
        <v>269</v>
      </c>
      <c r="C55" s="168" t="s">
        <v>1701</v>
      </c>
      <c r="D55" s="168" t="s">
        <v>270</v>
      </c>
      <c r="E55" s="189" t="s">
        <v>1323</v>
      </c>
      <c r="F55" s="169" t="s">
        <v>151</v>
      </c>
      <c r="G55" s="169" t="s">
        <v>153</v>
      </c>
      <c r="H55" s="170" t="s">
        <v>79</v>
      </c>
      <c r="I55" s="168" t="s">
        <v>159</v>
      </c>
      <c r="J55" s="346"/>
      <c r="K55" s="171">
        <v>3</v>
      </c>
      <c r="L55" s="172"/>
      <c r="M55" s="198"/>
      <c r="N55" s="253" t="s">
        <v>1132</v>
      </c>
      <c r="O55" s="253" t="s">
        <v>1177</v>
      </c>
      <c r="P55" s="253"/>
      <c r="Q55" s="253">
        <v>0.1429</v>
      </c>
      <c r="R55" s="173" t="s">
        <v>1702</v>
      </c>
      <c r="S55" s="168"/>
      <c r="T55" s="168"/>
      <c r="U55" s="168"/>
      <c r="V55" s="168"/>
    </row>
    <row r="56" spans="1:22" ht="30" x14ac:dyDescent="0.25">
      <c r="A56" s="148" t="s">
        <v>271</v>
      </c>
      <c r="B56" s="154" t="s">
        <v>272</v>
      </c>
      <c r="C56" s="89" t="s">
        <v>273</v>
      </c>
      <c r="D56" s="89" t="s">
        <v>78</v>
      </c>
      <c r="E56" s="185" t="s">
        <v>78</v>
      </c>
      <c r="F56" s="161" t="s">
        <v>268</v>
      </c>
      <c r="G56" s="185" t="s">
        <v>78</v>
      </c>
      <c r="H56" s="149" t="s">
        <v>94</v>
      </c>
      <c r="I56" s="185" t="s">
        <v>78</v>
      </c>
      <c r="J56" s="199" t="s">
        <v>162</v>
      </c>
      <c r="K56" s="150">
        <v>5</v>
      </c>
      <c r="L56" s="151" t="s">
        <v>105</v>
      </c>
      <c r="M56" s="196"/>
      <c r="N56" s="250" t="s">
        <v>1132</v>
      </c>
      <c r="O56" s="250" t="s">
        <v>1176</v>
      </c>
      <c r="P56" s="250"/>
      <c r="Q56" s="250"/>
      <c r="R56" s="93"/>
      <c r="S56" s="89"/>
      <c r="T56" s="89"/>
      <c r="U56" s="89"/>
      <c r="V56" s="89"/>
    </row>
    <row r="57" spans="1:22" ht="90" x14ac:dyDescent="0.25">
      <c r="A57" s="137" t="s">
        <v>274</v>
      </c>
      <c r="B57" s="155" t="s">
        <v>275</v>
      </c>
      <c r="C57" s="138" t="s">
        <v>276</v>
      </c>
      <c r="D57" s="138" t="s">
        <v>277</v>
      </c>
      <c r="E57" s="186" t="s">
        <v>1324</v>
      </c>
      <c r="F57" s="163" t="s">
        <v>1335</v>
      </c>
      <c r="G57" s="162" t="s">
        <v>78</v>
      </c>
      <c r="H57" s="144" t="s">
        <v>94</v>
      </c>
      <c r="I57" s="138" t="s">
        <v>1703</v>
      </c>
      <c r="J57" s="197" t="s">
        <v>1704</v>
      </c>
      <c r="K57" s="139">
        <v>4</v>
      </c>
      <c r="L57" s="140"/>
      <c r="M57" s="197"/>
      <c r="N57" s="251" t="s">
        <v>1132</v>
      </c>
      <c r="O57" s="278" t="s">
        <v>1495</v>
      </c>
      <c r="P57" s="251"/>
      <c r="Q57" s="251" t="s">
        <v>1494</v>
      </c>
      <c r="R57" s="141"/>
      <c r="S57" s="138"/>
      <c r="T57" s="138"/>
      <c r="U57" s="138"/>
      <c r="V57" s="138"/>
    </row>
    <row r="58" spans="1:22" ht="30" x14ac:dyDescent="0.25">
      <c r="A58" s="148" t="s">
        <v>278</v>
      </c>
      <c r="B58" s="154" t="s">
        <v>279</v>
      </c>
      <c r="C58" s="89" t="s">
        <v>280</v>
      </c>
      <c r="D58" s="185" t="s">
        <v>78</v>
      </c>
      <c r="E58" s="185" t="s">
        <v>78</v>
      </c>
      <c r="F58" s="161" t="s">
        <v>274</v>
      </c>
      <c r="G58" s="185" t="s">
        <v>78</v>
      </c>
      <c r="H58" s="149" t="s">
        <v>94</v>
      </c>
      <c r="I58" s="185" t="s">
        <v>78</v>
      </c>
      <c r="J58" s="196"/>
      <c r="K58" s="150">
        <v>5</v>
      </c>
      <c r="L58" s="151" t="s">
        <v>105</v>
      </c>
      <c r="M58" s="196"/>
      <c r="N58" s="250" t="s">
        <v>1132</v>
      </c>
      <c r="O58" s="250" t="s">
        <v>1176</v>
      </c>
      <c r="P58" s="250"/>
      <c r="Q58" s="250">
        <v>0.16669999999999999</v>
      </c>
      <c r="R58" s="93"/>
      <c r="S58" s="89"/>
      <c r="T58" s="89"/>
      <c r="U58" s="89"/>
      <c r="V58" s="89"/>
    </row>
    <row r="59" spans="1:22" ht="30" x14ac:dyDescent="0.25">
      <c r="A59" s="148" t="s">
        <v>281</v>
      </c>
      <c r="B59" s="154" t="s">
        <v>282</v>
      </c>
      <c r="C59" s="89" t="s">
        <v>283</v>
      </c>
      <c r="D59" s="185" t="s">
        <v>78</v>
      </c>
      <c r="E59" s="185" t="s">
        <v>78</v>
      </c>
      <c r="F59" s="161" t="s">
        <v>274</v>
      </c>
      <c r="G59" s="185" t="s">
        <v>78</v>
      </c>
      <c r="H59" s="149" t="s">
        <v>94</v>
      </c>
      <c r="I59" s="185" t="s">
        <v>78</v>
      </c>
      <c r="J59" s="196"/>
      <c r="K59" s="150">
        <v>5</v>
      </c>
      <c r="L59" s="151" t="s">
        <v>105</v>
      </c>
      <c r="M59" s="196"/>
      <c r="N59" s="250" t="s">
        <v>1132</v>
      </c>
      <c r="O59" s="250" t="s">
        <v>1176</v>
      </c>
      <c r="P59" s="250"/>
      <c r="Q59" s="250">
        <v>0.16669999999999999</v>
      </c>
      <c r="R59" s="93"/>
      <c r="S59" s="89"/>
      <c r="T59" s="89"/>
      <c r="U59" s="89"/>
      <c r="V59" s="89"/>
    </row>
    <row r="60" spans="1:22" ht="30" x14ac:dyDescent="0.25">
      <c r="A60" s="148" t="s">
        <v>284</v>
      </c>
      <c r="B60" s="154" t="s">
        <v>285</v>
      </c>
      <c r="C60" s="89" t="s">
        <v>286</v>
      </c>
      <c r="D60" s="185" t="s">
        <v>78</v>
      </c>
      <c r="E60" s="185" t="s">
        <v>78</v>
      </c>
      <c r="F60" s="161" t="s">
        <v>274</v>
      </c>
      <c r="G60" s="185" t="s">
        <v>78</v>
      </c>
      <c r="H60" s="149" t="s">
        <v>94</v>
      </c>
      <c r="I60" s="185" t="s">
        <v>78</v>
      </c>
      <c r="J60" s="196"/>
      <c r="K60" s="150">
        <v>5</v>
      </c>
      <c r="L60" s="151" t="s">
        <v>105</v>
      </c>
      <c r="M60" s="196"/>
      <c r="N60" s="250" t="s">
        <v>1132</v>
      </c>
      <c r="O60" s="250" t="s">
        <v>1176</v>
      </c>
      <c r="P60" s="250"/>
      <c r="Q60" s="250">
        <v>0.16669999999999999</v>
      </c>
      <c r="R60" s="93"/>
      <c r="S60" s="89"/>
      <c r="T60" s="89"/>
      <c r="U60" s="89"/>
      <c r="V60" s="89"/>
    </row>
    <row r="61" spans="1:22" ht="30" x14ac:dyDescent="0.25">
      <c r="A61" s="148" t="s">
        <v>287</v>
      </c>
      <c r="B61" s="154" t="s">
        <v>288</v>
      </c>
      <c r="C61" s="89" t="s">
        <v>289</v>
      </c>
      <c r="D61" s="185" t="s">
        <v>78</v>
      </c>
      <c r="E61" s="185" t="s">
        <v>78</v>
      </c>
      <c r="F61" s="161" t="s">
        <v>274</v>
      </c>
      <c r="G61" s="185" t="s">
        <v>78</v>
      </c>
      <c r="H61" s="149" t="s">
        <v>94</v>
      </c>
      <c r="I61" s="185" t="s">
        <v>78</v>
      </c>
      <c r="J61" s="196"/>
      <c r="K61" s="150">
        <v>5</v>
      </c>
      <c r="L61" s="151" t="s">
        <v>105</v>
      </c>
      <c r="M61" s="196"/>
      <c r="N61" s="250" t="s">
        <v>1132</v>
      </c>
      <c r="O61" s="250" t="s">
        <v>1176</v>
      </c>
      <c r="P61" s="250"/>
      <c r="Q61" s="250">
        <v>0.16669999999999999</v>
      </c>
      <c r="R61" s="93"/>
      <c r="S61" s="89"/>
      <c r="T61" s="89"/>
      <c r="U61" s="89"/>
      <c r="V61" s="89"/>
    </row>
    <row r="62" spans="1:22" ht="30" x14ac:dyDescent="0.25">
      <c r="A62" s="148" t="s">
        <v>290</v>
      </c>
      <c r="B62" s="154" t="s">
        <v>291</v>
      </c>
      <c r="C62" s="89" t="s">
        <v>292</v>
      </c>
      <c r="D62" s="185" t="s">
        <v>78</v>
      </c>
      <c r="E62" s="185" t="s">
        <v>78</v>
      </c>
      <c r="F62" s="161" t="s">
        <v>274</v>
      </c>
      <c r="G62" s="185" t="s">
        <v>78</v>
      </c>
      <c r="H62" s="149" t="s">
        <v>94</v>
      </c>
      <c r="I62" s="185" t="s">
        <v>78</v>
      </c>
      <c r="J62" s="196"/>
      <c r="K62" s="150">
        <v>5</v>
      </c>
      <c r="L62" s="151" t="s">
        <v>105</v>
      </c>
      <c r="M62" s="196"/>
      <c r="N62" s="250" t="s">
        <v>1132</v>
      </c>
      <c r="O62" s="250" t="s">
        <v>1176</v>
      </c>
      <c r="P62" s="250"/>
      <c r="Q62" s="250">
        <v>0.16669999999999999</v>
      </c>
      <c r="R62" s="93"/>
      <c r="S62" s="89"/>
      <c r="T62" s="89"/>
      <c r="U62" s="89"/>
      <c r="V62" s="89"/>
    </row>
    <row r="63" spans="1:22" ht="45" x14ac:dyDescent="0.25">
      <c r="A63" s="148" t="s">
        <v>293</v>
      </c>
      <c r="B63" s="154" t="s">
        <v>294</v>
      </c>
      <c r="C63" s="89" t="s">
        <v>295</v>
      </c>
      <c r="D63" s="185" t="s">
        <v>78</v>
      </c>
      <c r="E63" s="185" t="s">
        <v>78</v>
      </c>
      <c r="F63" s="161" t="s">
        <v>274</v>
      </c>
      <c r="G63" s="185" t="s">
        <v>78</v>
      </c>
      <c r="H63" s="149" t="s">
        <v>94</v>
      </c>
      <c r="I63" s="185" t="s">
        <v>78</v>
      </c>
      <c r="J63" s="196"/>
      <c r="K63" s="150">
        <v>5</v>
      </c>
      <c r="L63" s="151" t="s">
        <v>105</v>
      </c>
      <c r="M63" s="196"/>
      <c r="N63" s="250" t="s">
        <v>1132</v>
      </c>
      <c r="O63" s="250" t="s">
        <v>1176</v>
      </c>
      <c r="P63" s="250"/>
      <c r="Q63" s="250">
        <v>0.16650000000000001</v>
      </c>
      <c r="R63" s="93"/>
      <c r="S63" s="89"/>
      <c r="T63" s="89"/>
      <c r="U63" s="89"/>
      <c r="V63" s="89"/>
    </row>
    <row r="64" spans="1:22" ht="70.5" customHeight="1" x14ac:dyDescent="0.25">
      <c r="A64" s="166" t="s">
        <v>296</v>
      </c>
      <c r="B64" s="167" t="s">
        <v>297</v>
      </c>
      <c r="C64" s="168" t="s">
        <v>1705</v>
      </c>
      <c r="D64" s="168" t="s">
        <v>298</v>
      </c>
      <c r="E64" s="189" t="s">
        <v>1311</v>
      </c>
      <c r="F64" s="169" t="s">
        <v>151</v>
      </c>
      <c r="G64" s="169" t="s">
        <v>153</v>
      </c>
      <c r="H64" s="170" t="s">
        <v>79</v>
      </c>
      <c r="I64" s="168" t="s">
        <v>299</v>
      </c>
      <c r="J64" s="198"/>
      <c r="K64" s="171">
        <v>3</v>
      </c>
      <c r="L64" s="172"/>
      <c r="M64" s="198"/>
      <c r="N64" s="253" t="s">
        <v>1126</v>
      </c>
      <c r="O64" s="281" t="s">
        <v>1177</v>
      </c>
      <c r="P64" s="253"/>
      <c r="Q64" s="253">
        <v>0.1426</v>
      </c>
      <c r="R64" s="173" t="s">
        <v>1706</v>
      </c>
      <c r="S64" s="168"/>
      <c r="T64" s="168"/>
      <c r="U64" s="168"/>
      <c r="V64" s="168"/>
    </row>
    <row r="65" spans="1:22" ht="75" x14ac:dyDescent="0.25">
      <c r="A65" s="148" t="s">
        <v>300</v>
      </c>
      <c r="B65" s="154" t="s">
        <v>131</v>
      </c>
      <c r="C65" s="89" t="s">
        <v>301</v>
      </c>
      <c r="D65" s="185" t="s">
        <v>78</v>
      </c>
      <c r="E65" s="185" t="s">
        <v>78</v>
      </c>
      <c r="F65" s="161" t="s">
        <v>1515</v>
      </c>
      <c r="G65" s="185" t="s">
        <v>78</v>
      </c>
      <c r="H65" s="149" t="s">
        <v>94</v>
      </c>
      <c r="I65" s="185" t="s">
        <v>78</v>
      </c>
      <c r="J65" s="196"/>
      <c r="K65" s="150">
        <v>5</v>
      </c>
      <c r="L65" s="151" t="s">
        <v>105</v>
      </c>
      <c r="M65" s="196"/>
      <c r="N65" s="250" t="s">
        <v>1126</v>
      </c>
      <c r="O65" s="250" t="s">
        <v>1176</v>
      </c>
      <c r="P65" s="250"/>
      <c r="Q65" s="250">
        <v>0.5</v>
      </c>
      <c r="R65" s="93"/>
      <c r="S65" s="89"/>
      <c r="T65" s="89"/>
      <c r="U65" s="89"/>
      <c r="V65" s="89"/>
    </row>
    <row r="66" spans="1:22" ht="75" x14ac:dyDescent="0.25">
      <c r="A66" s="148" t="s">
        <v>302</v>
      </c>
      <c r="B66" s="154" t="s">
        <v>133</v>
      </c>
      <c r="C66" s="89" t="s">
        <v>303</v>
      </c>
      <c r="D66" s="185" t="s">
        <v>78</v>
      </c>
      <c r="E66" s="185" t="s">
        <v>78</v>
      </c>
      <c r="F66" s="161" t="s">
        <v>1515</v>
      </c>
      <c r="G66" s="185" t="s">
        <v>78</v>
      </c>
      <c r="H66" s="149" t="s">
        <v>94</v>
      </c>
      <c r="I66" s="185" t="s">
        <v>78</v>
      </c>
      <c r="J66" s="196"/>
      <c r="K66" s="150">
        <v>5</v>
      </c>
      <c r="L66" s="151" t="s">
        <v>105</v>
      </c>
      <c r="M66" s="196"/>
      <c r="N66" s="250" t="s">
        <v>1126</v>
      </c>
      <c r="O66" s="250" t="s">
        <v>1176</v>
      </c>
      <c r="P66" s="250"/>
      <c r="Q66" s="250">
        <v>0.5</v>
      </c>
      <c r="R66" s="93"/>
      <c r="S66" s="89"/>
      <c r="T66" s="89"/>
      <c r="U66" s="89"/>
      <c r="V66" s="89"/>
    </row>
    <row r="67" spans="1:22" ht="150" x14ac:dyDescent="0.25">
      <c r="A67" s="123" t="s">
        <v>1164</v>
      </c>
      <c r="B67" s="152" t="s">
        <v>1166</v>
      </c>
      <c r="C67" s="124" t="s">
        <v>1167</v>
      </c>
      <c r="D67" s="124" t="s">
        <v>1171</v>
      </c>
      <c r="E67" s="183" t="s">
        <v>1347</v>
      </c>
      <c r="F67" s="157" t="s">
        <v>76</v>
      </c>
      <c r="G67" s="158" t="s">
        <v>153</v>
      </c>
      <c r="H67" s="142" t="s">
        <v>79</v>
      </c>
      <c r="I67" s="124" t="s">
        <v>1170</v>
      </c>
      <c r="J67" s="194"/>
      <c r="K67" s="125">
        <v>2</v>
      </c>
      <c r="L67" s="126"/>
      <c r="M67" s="194"/>
      <c r="N67" s="248" t="s">
        <v>1126</v>
      </c>
      <c r="O67" s="276" t="s">
        <v>1177</v>
      </c>
      <c r="P67" s="248"/>
      <c r="Q67" s="248">
        <v>0.2</v>
      </c>
      <c r="R67" s="146" t="s">
        <v>1707</v>
      </c>
      <c r="S67" s="124"/>
      <c r="T67" s="124"/>
      <c r="U67" s="124"/>
      <c r="V67" s="124"/>
    </row>
    <row r="68" spans="1:22" ht="30" x14ac:dyDescent="0.25">
      <c r="A68" s="148" t="s">
        <v>1165</v>
      </c>
      <c r="B68" s="154" t="s">
        <v>1163</v>
      </c>
      <c r="C68" s="89" t="s">
        <v>1168</v>
      </c>
      <c r="D68" s="185" t="s">
        <v>78</v>
      </c>
      <c r="E68" s="185" t="s">
        <v>78</v>
      </c>
      <c r="F68" s="161" t="s">
        <v>1164</v>
      </c>
      <c r="G68" s="185" t="s">
        <v>78</v>
      </c>
      <c r="H68" s="149" t="s">
        <v>1169</v>
      </c>
      <c r="I68" s="185" t="s">
        <v>78</v>
      </c>
      <c r="J68" s="256"/>
      <c r="K68" s="150">
        <v>5</v>
      </c>
      <c r="L68" s="151" t="s">
        <v>105</v>
      </c>
      <c r="M68" s="257" t="s">
        <v>1162</v>
      </c>
      <c r="N68" s="250" t="s">
        <v>1126</v>
      </c>
      <c r="O68" s="250" t="s">
        <v>1176</v>
      </c>
      <c r="P68" s="250"/>
      <c r="Q68" s="250"/>
      <c r="R68" s="93"/>
      <c r="S68" s="89"/>
      <c r="T68" s="89"/>
      <c r="U68" s="89"/>
      <c r="V68" s="89"/>
    </row>
  </sheetData>
  <phoneticPr fontId="3" type="noConversion"/>
  <pageMargins left="0.7" right="0.7" top="0.78740157499999996" bottom="0.78740157499999996" header="0.3" footer="0.3"/>
  <pageSetup paperSize="9" orientation="portrait"/>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4F11-A6D7-4DCD-8943-62F21E53790F}">
  <sheetPr>
    <tabColor rgb="FFCCFFFF"/>
  </sheetPr>
  <dimension ref="A1:V60"/>
  <sheetViews>
    <sheetView topLeftCell="F1" zoomScale="85" zoomScaleNormal="85" workbookViewId="0">
      <pane ySplit="1" topLeftCell="A50" activePane="bottomLeft" state="frozen"/>
      <selection pane="bottomLeft" activeCell="K65" sqref="K65"/>
    </sheetView>
  </sheetViews>
  <sheetFormatPr defaultColWidth="11.42578125" defaultRowHeight="15" x14ac:dyDescent="0.25"/>
  <cols>
    <col min="1" max="1" width="11" style="2"/>
    <col min="2" max="2" width="48" style="2" bestFit="1" customWidth="1"/>
    <col min="3" max="3" width="61.7109375" style="2" bestFit="1" customWidth="1"/>
    <col min="4" max="4" width="39.42578125" style="2" hidden="1" customWidth="1"/>
    <col min="5" max="5" width="38" style="14" hidden="1" customWidth="1"/>
    <col min="6" max="6" width="26" style="291" customWidth="1"/>
    <col min="7" max="7" width="27.42578125" style="2" customWidth="1"/>
    <col min="8" max="8" width="11.42578125" style="1" customWidth="1"/>
    <col min="9" max="10" width="28.5703125" style="14" customWidth="1"/>
    <col min="11" max="11" width="11.42578125" style="187" customWidth="1"/>
    <col min="12" max="13" width="8" style="2" customWidth="1"/>
    <col min="14" max="14" width="12.28515625" style="2" customWidth="1"/>
    <col min="15" max="15" width="28.140625" style="2" hidden="1" customWidth="1"/>
    <col min="16" max="16" width="34.28515625" style="269" hidden="1" customWidth="1"/>
    <col min="17" max="17" width="15.28515625" style="269" customWidth="1"/>
    <col min="18" max="18" width="25.28515625" style="2" customWidth="1"/>
  </cols>
  <sheetData>
    <row r="1" spans="1:22" ht="30" x14ac:dyDescent="0.25">
      <c r="A1" s="6" t="s">
        <v>65</v>
      </c>
      <c r="B1" s="5" t="s">
        <v>66</v>
      </c>
      <c r="C1" s="5" t="s">
        <v>8</v>
      </c>
      <c r="D1" s="5" t="s">
        <v>67</v>
      </c>
      <c r="E1" s="13" t="s">
        <v>68</v>
      </c>
      <c r="F1" s="283" t="s">
        <v>1352</v>
      </c>
      <c r="G1" s="99" t="s">
        <v>69</v>
      </c>
      <c r="H1" s="5" t="s">
        <v>70</v>
      </c>
      <c r="I1" s="13" t="s">
        <v>71</v>
      </c>
      <c r="J1" s="13" t="s">
        <v>72</v>
      </c>
      <c r="K1" s="13" t="s">
        <v>73</v>
      </c>
      <c r="L1" s="229" t="s">
        <v>74</v>
      </c>
      <c r="M1" s="229" t="s">
        <v>1471</v>
      </c>
      <c r="N1" s="247" t="s">
        <v>1342</v>
      </c>
      <c r="O1" s="24" t="s">
        <v>1219</v>
      </c>
      <c r="P1" s="258" t="s">
        <v>1218</v>
      </c>
      <c r="Q1" s="24" t="s">
        <v>1346</v>
      </c>
      <c r="R1" s="32" t="s">
        <v>75</v>
      </c>
      <c r="S1" s="356" t="s">
        <v>1482</v>
      </c>
      <c r="T1" s="356" t="s">
        <v>1483</v>
      </c>
      <c r="U1" s="356" t="s">
        <v>1484</v>
      </c>
      <c r="V1" s="356" t="s">
        <v>1485</v>
      </c>
    </row>
    <row r="2" spans="1:22" ht="105" x14ac:dyDescent="0.25">
      <c r="A2" s="63" t="s">
        <v>588</v>
      </c>
      <c r="B2" s="64" t="s">
        <v>589</v>
      </c>
      <c r="C2" s="64" t="s">
        <v>1708</v>
      </c>
      <c r="D2" s="64" t="s">
        <v>590</v>
      </c>
      <c r="E2" s="66" t="s">
        <v>1213</v>
      </c>
      <c r="F2" s="284" t="s">
        <v>78</v>
      </c>
      <c r="G2" s="64" t="s">
        <v>78</v>
      </c>
      <c r="H2" s="65" t="s">
        <v>79</v>
      </c>
      <c r="I2" s="66" t="s">
        <v>1709</v>
      </c>
      <c r="J2" s="66"/>
      <c r="K2" s="66">
        <v>1</v>
      </c>
      <c r="L2" s="64"/>
      <c r="M2" s="67"/>
      <c r="N2" s="67" t="s">
        <v>1126</v>
      </c>
      <c r="O2" s="67" t="s">
        <v>1172</v>
      </c>
      <c r="P2" s="260"/>
      <c r="Q2" s="260"/>
      <c r="R2" s="67"/>
      <c r="S2" s="67"/>
      <c r="T2" s="67"/>
      <c r="U2" s="67"/>
      <c r="V2" s="67"/>
    </row>
    <row r="3" spans="1:22" ht="105" x14ac:dyDescent="0.25">
      <c r="A3" s="68" t="s">
        <v>591</v>
      </c>
      <c r="B3" s="69" t="s">
        <v>592</v>
      </c>
      <c r="C3" s="69" t="s">
        <v>1710</v>
      </c>
      <c r="D3" s="69" t="s">
        <v>593</v>
      </c>
      <c r="E3" s="71" t="s">
        <v>1173</v>
      </c>
      <c r="F3" s="285" t="s">
        <v>588</v>
      </c>
      <c r="G3" s="69" t="s">
        <v>78</v>
      </c>
      <c r="H3" s="70" t="s">
        <v>79</v>
      </c>
      <c r="I3" s="71" t="s">
        <v>594</v>
      </c>
      <c r="J3" s="71" t="s">
        <v>1711</v>
      </c>
      <c r="K3" s="71">
        <v>2</v>
      </c>
      <c r="L3" s="69"/>
      <c r="M3" s="72"/>
      <c r="N3" s="72" t="s">
        <v>1151</v>
      </c>
      <c r="O3" s="72" t="s">
        <v>1172</v>
      </c>
      <c r="P3" s="261"/>
      <c r="Q3" s="261">
        <v>0.2</v>
      </c>
      <c r="R3" s="72" t="s">
        <v>1712</v>
      </c>
      <c r="S3" s="72"/>
      <c r="T3" s="72"/>
      <c r="U3" s="72"/>
      <c r="V3" s="72"/>
    </row>
    <row r="4" spans="1:22" ht="195" x14ac:dyDescent="0.25">
      <c r="A4" s="73" t="s">
        <v>595</v>
      </c>
      <c r="B4" s="74" t="s">
        <v>596</v>
      </c>
      <c r="C4" s="74" t="s">
        <v>1069</v>
      </c>
      <c r="D4" s="74" t="s">
        <v>597</v>
      </c>
      <c r="E4" s="76" t="s">
        <v>1211</v>
      </c>
      <c r="F4" s="286" t="s">
        <v>591</v>
      </c>
      <c r="G4" s="74" t="s">
        <v>153</v>
      </c>
      <c r="H4" s="75" t="s">
        <v>79</v>
      </c>
      <c r="I4" s="76" t="s">
        <v>1212</v>
      </c>
      <c r="J4" s="76" t="s">
        <v>598</v>
      </c>
      <c r="K4" s="76">
        <v>3</v>
      </c>
      <c r="L4" s="74"/>
      <c r="M4" s="77"/>
      <c r="N4" s="77" t="s">
        <v>1151</v>
      </c>
      <c r="O4" s="77" t="s">
        <v>1177</v>
      </c>
      <c r="P4" s="262" t="s">
        <v>1209</v>
      </c>
      <c r="Q4" s="262">
        <v>0.33329999999999999</v>
      </c>
      <c r="R4" s="77" t="s">
        <v>1713</v>
      </c>
      <c r="S4" s="359">
        <v>0</v>
      </c>
      <c r="T4" s="359">
        <v>1</v>
      </c>
      <c r="U4" s="359"/>
      <c r="V4" s="359"/>
    </row>
    <row r="5" spans="1:22" ht="105" x14ac:dyDescent="0.25">
      <c r="A5" s="73" t="s">
        <v>599</v>
      </c>
      <c r="B5" s="74" t="s">
        <v>600</v>
      </c>
      <c r="C5" s="74" t="s">
        <v>1068</v>
      </c>
      <c r="D5" s="74" t="s">
        <v>601</v>
      </c>
      <c r="E5" s="76" t="s">
        <v>1174</v>
      </c>
      <c r="F5" s="286" t="s">
        <v>591</v>
      </c>
      <c r="G5" s="74" t="s">
        <v>153</v>
      </c>
      <c r="H5" s="75" t="s">
        <v>79</v>
      </c>
      <c r="I5" s="76" t="s">
        <v>602</v>
      </c>
      <c r="J5" s="76" t="s">
        <v>603</v>
      </c>
      <c r="K5" s="76">
        <v>3</v>
      </c>
      <c r="L5" s="74"/>
      <c r="M5" s="77"/>
      <c r="N5" s="77" t="s">
        <v>1152</v>
      </c>
      <c r="O5" s="77" t="s">
        <v>1177</v>
      </c>
      <c r="P5" s="263" t="s">
        <v>1207</v>
      </c>
      <c r="Q5" s="263">
        <v>0.33329999999999999</v>
      </c>
      <c r="R5" s="77" t="s">
        <v>1491</v>
      </c>
      <c r="S5" s="359">
        <v>0</v>
      </c>
      <c r="T5" s="359">
        <v>1</v>
      </c>
      <c r="U5" s="359"/>
      <c r="V5" s="359"/>
    </row>
    <row r="6" spans="1:22" ht="105" x14ac:dyDescent="0.25">
      <c r="A6" s="73" t="s">
        <v>604</v>
      </c>
      <c r="B6" s="74" t="s">
        <v>605</v>
      </c>
      <c r="C6" s="74" t="s">
        <v>1067</v>
      </c>
      <c r="D6" s="74" t="s">
        <v>606</v>
      </c>
      <c r="E6" s="76" t="s">
        <v>1175</v>
      </c>
      <c r="F6" s="286" t="s">
        <v>591</v>
      </c>
      <c r="G6" s="74" t="s">
        <v>153</v>
      </c>
      <c r="H6" s="75" t="s">
        <v>79</v>
      </c>
      <c r="I6" s="76" t="s">
        <v>1206</v>
      </c>
      <c r="J6" s="76" t="s">
        <v>1538</v>
      </c>
      <c r="K6" s="76" t="s">
        <v>150</v>
      </c>
      <c r="L6" s="74"/>
      <c r="M6" s="77"/>
      <c r="N6" s="77" t="s">
        <v>1132</v>
      </c>
      <c r="O6" s="77" t="s">
        <v>1177</v>
      </c>
      <c r="P6" s="263" t="s">
        <v>1205</v>
      </c>
      <c r="Q6" s="263">
        <v>0.33339999999999997</v>
      </c>
      <c r="R6" s="77" t="s">
        <v>1491</v>
      </c>
      <c r="S6" s="359">
        <v>0</v>
      </c>
      <c r="T6" s="359">
        <v>1</v>
      </c>
      <c r="U6" s="359"/>
      <c r="V6" s="359"/>
    </row>
    <row r="7" spans="1:22" x14ac:dyDescent="0.25">
      <c r="A7" s="98" t="s">
        <v>607</v>
      </c>
      <c r="B7" s="89" t="s">
        <v>608</v>
      </c>
      <c r="C7" s="89" t="s">
        <v>609</v>
      </c>
      <c r="D7" s="89" t="s">
        <v>78</v>
      </c>
      <c r="E7" s="91" t="s">
        <v>78</v>
      </c>
      <c r="F7" s="90" t="s">
        <v>599</v>
      </c>
      <c r="G7" s="89" t="s">
        <v>78</v>
      </c>
      <c r="H7" s="92" t="s">
        <v>65</v>
      </c>
      <c r="I7" s="91" t="s">
        <v>78</v>
      </c>
      <c r="J7" s="91"/>
      <c r="K7" s="91">
        <v>5</v>
      </c>
      <c r="L7" s="89" t="s">
        <v>105</v>
      </c>
      <c r="M7" s="93"/>
      <c r="N7" s="93" t="s">
        <v>1134</v>
      </c>
      <c r="O7" s="93" t="s">
        <v>1176</v>
      </c>
      <c r="P7" s="199">
        <v>5000</v>
      </c>
      <c r="Q7" s="199"/>
      <c r="R7" s="362"/>
      <c r="S7" s="363"/>
      <c r="T7" s="363"/>
      <c r="U7" s="363"/>
      <c r="V7" s="363"/>
    </row>
    <row r="8" spans="1:22" x14ac:dyDescent="0.25">
      <c r="A8" s="98" t="s">
        <v>610</v>
      </c>
      <c r="B8" s="89" t="s">
        <v>611</v>
      </c>
      <c r="C8" s="89" t="s">
        <v>612</v>
      </c>
      <c r="D8" s="89" t="s">
        <v>78</v>
      </c>
      <c r="E8" s="91" t="s">
        <v>78</v>
      </c>
      <c r="F8" s="90" t="s">
        <v>599</v>
      </c>
      <c r="G8" s="89" t="s">
        <v>78</v>
      </c>
      <c r="H8" s="92" t="s">
        <v>65</v>
      </c>
      <c r="I8" s="91" t="s">
        <v>78</v>
      </c>
      <c r="J8" s="91" t="s">
        <v>598</v>
      </c>
      <c r="K8" s="91">
        <v>5</v>
      </c>
      <c r="L8" s="89" t="s">
        <v>105</v>
      </c>
      <c r="M8" s="93"/>
      <c r="N8" s="93" t="s">
        <v>1132</v>
      </c>
      <c r="O8" s="93" t="s">
        <v>1176</v>
      </c>
      <c r="P8" s="199">
        <v>1200</v>
      </c>
      <c r="Q8" s="199"/>
      <c r="R8" s="93"/>
      <c r="S8" s="363"/>
      <c r="T8" s="363"/>
      <c r="U8" s="363"/>
      <c r="V8" s="363"/>
    </row>
    <row r="9" spans="1:22" x14ac:dyDescent="0.25">
      <c r="A9" s="98" t="s">
        <v>613</v>
      </c>
      <c r="B9" s="89" t="s">
        <v>1113</v>
      </c>
      <c r="C9" s="89" t="s">
        <v>614</v>
      </c>
      <c r="D9" s="89" t="s">
        <v>78</v>
      </c>
      <c r="E9" s="91" t="s">
        <v>78</v>
      </c>
      <c r="F9" s="90" t="s">
        <v>595</v>
      </c>
      <c r="G9" s="89" t="s">
        <v>78</v>
      </c>
      <c r="H9" s="92" t="s">
        <v>329</v>
      </c>
      <c r="I9" s="91" t="s">
        <v>78</v>
      </c>
      <c r="J9" s="91" t="s">
        <v>598</v>
      </c>
      <c r="K9" s="91">
        <v>5</v>
      </c>
      <c r="L9" s="89" t="s">
        <v>105</v>
      </c>
      <c r="M9" s="93"/>
      <c r="N9" s="93" t="s">
        <v>1132</v>
      </c>
      <c r="O9" s="93" t="s">
        <v>1176</v>
      </c>
      <c r="P9" s="199">
        <v>200</v>
      </c>
      <c r="Q9" s="199"/>
      <c r="R9" s="93"/>
      <c r="S9" s="363"/>
      <c r="T9" s="363"/>
      <c r="U9" s="363"/>
      <c r="V9" s="363"/>
    </row>
    <row r="10" spans="1:22" x14ac:dyDescent="0.25">
      <c r="A10" s="98" t="s">
        <v>615</v>
      </c>
      <c r="B10" s="89" t="s">
        <v>1208</v>
      </c>
      <c r="C10" s="89" t="s">
        <v>616</v>
      </c>
      <c r="D10" s="89" t="s">
        <v>78</v>
      </c>
      <c r="E10" s="91" t="s">
        <v>78</v>
      </c>
      <c r="F10" s="90" t="s">
        <v>595</v>
      </c>
      <c r="G10" s="89" t="s">
        <v>78</v>
      </c>
      <c r="H10" s="92" t="s">
        <v>329</v>
      </c>
      <c r="I10" s="91" t="s">
        <v>78</v>
      </c>
      <c r="J10" s="91"/>
      <c r="K10" s="91">
        <v>5</v>
      </c>
      <c r="L10" s="89" t="s">
        <v>105</v>
      </c>
      <c r="M10" s="93"/>
      <c r="N10" s="93" t="s">
        <v>1150</v>
      </c>
      <c r="O10" s="93" t="s">
        <v>1176</v>
      </c>
      <c r="P10" s="199">
        <v>300</v>
      </c>
      <c r="Q10" s="199"/>
      <c r="R10" s="93"/>
      <c r="S10" s="363"/>
      <c r="T10" s="363"/>
      <c r="U10" s="363"/>
      <c r="V10" s="363"/>
    </row>
    <row r="11" spans="1:22" ht="30" x14ac:dyDescent="0.25">
      <c r="A11" s="98" t="s">
        <v>617</v>
      </c>
      <c r="B11" s="89" t="s">
        <v>1107</v>
      </c>
      <c r="C11" s="89" t="s">
        <v>618</v>
      </c>
      <c r="D11" s="89" t="s">
        <v>78</v>
      </c>
      <c r="E11" s="91" t="s">
        <v>78</v>
      </c>
      <c r="F11" s="90" t="s">
        <v>1516</v>
      </c>
      <c r="G11" s="89" t="s">
        <v>78</v>
      </c>
      <c r="H11" s="92" t="s">
        <v>329</v>
      </c>
      <c r="I11" s="91" t="s">
        <v>78</v>
      </c>
      <c r="J11" s="95"/>
      <c r="K11" s="91">
        <v>5</v>
      </c>
      <c r="L11" s="89" t="s">
        <v>105</v>
      </c>
      <c r="M11" s="93"/>
      <c r="N11" s="93" t="s">
        <v>1132</v>
      </c>
      <c r="O11" s="93" t="s">
        <v>1176</v>
      </c>
      <c r="P11" s="199">
        <v>3600</v>
      </c>
      <c r="Q11" s="199">
        <v>0.16669999999999999</v>
      </c>
      <c r="R11" s="93"/>
      <c r="S11" s="363"/>
      <c r="T11" s="363"/>
      <c r="U11" s="363"/>
      <c r="V11" s="363"/>
    </row>
    <row r="12" spans="1:22" ht="45" x14ac:dyDescent="0.25">
      <c r="A12" s="98" t="s">
        <v>619</v>
      </c>
      <c r="B12" s="89" t="s">
        <v>1108</v>
      </c>
      <c r="C12" s="89" t="s">
        <v>1099</v>
      </c>
      <c r="D12" s="89" t="s">
        <v>78</v>
      </c>
      <c r="E12" s="91" t="s">
        <v>78</v>
      </c>
      <c r="F12" s="90" t="s">
        <v>604</v>
      </c>
      <c r="G12" s="89" t="s">
        <v>78</v>
      </c>
      <c r="H12" s="92" t="s">
        <v>329</v>
      </c>
      <c r="I12" s="91" t="s">
        <v>78</v>
      </c>
      <c r="J12" s="95"/>
      <c r="K12" s="91">
        <v>5</v>
      </c>
      <c r="L12" s="89" t="s">
        <v>105</v>
      </c>
      <c r="M12" s="93"/>
      <c r="N12" s="93" t="s">
        <v>1132</v>
      </c>
      <c r="O12" s="93" t="s">
        <v>1176</v>
      </c>
      <c r="P12" s="199">
        <v>2800</v>
      </c>
      <c r="Q12" s="199"/>
      <c r="R12" s="93"/>
      <c r="S12" s="363"/>
      <c r="T12" s="363"/>
      <c r="U12" s="363"/>
      <c r="V12" s="363"/>
    </row>
    <row r="13" spans="1:22" ht="60" x14ac:dyDescent="0.25">
      <c r="A13" s="68" t="s">
        <v>620</v>
      </c>
      <c r="B13" s="69" t="s">
        <v>621</v>
      </c>
      <c r="C13" s="69" t="s">
        <v>1714</v>
      </c>
      <c r="D13" s="69" t="s">
        <v>622</v>
      </c>
      <c r="E13" s="71" t="s">
        <v>1178</v>
      </c>
      <c r="F13" s="285" t="s">
        <v>588</v>
      </c>
      <c r="G13" s="69" t="s">
        <v>78</v>
      </c>
      <c r="H13" s="70" t="s">
        <v>79</v>
      </c>
      <c r="I13" s="71" t="s">
        <v>1715</v>
      </c>
      <c r="J13" s="71" t="s">
        <v>623</v>
      </c>
      <c r="K13" s="71">
        <v>2</v>
      </c>
      <c r="L13" s="69"/>
      <c r="M13" s="72"/>
      <c r="N13" s="72" t="s">
        <v>1132</v>
      </c>
      <c r="O13" s="72" t="s">
        <v>1172</v>
      </c>
      <c r="P13" s="261"/>
      <c r="Q13" s="261">
        <v>0.2</v>
      </c>
      <c r="R13" s="72"/>
      <c r="S13" s="360"/>
      <c r="T13" s="360"/>
      <c r="U13" s="360"/>
      <c r="V13" s="360"/>
    </row>
    <row r="14" spans="1:22" ht="68.25" customHeight="1" x14ac:dyDescent="0.25">
      <c r="A14" s="73" t="s">
        <v>624</v>
      </c>
      <c r="B14" s="74" t="s">
        <v>625</v>
      </c>
      <c r="C14" s="74" t="s">
        <v>626</v>
      </c>
      <c r="D14" s="74" t="s">
        <v>627</v>
      </c>
      <c r="E14" s="76" t="s">
        <v>1179</v>
      </c>
      <c r="F14" s="286" t="s">
        <v>620</v>
      </c>
      <c r="G14" s="74" t="s">
        <v>78</v>
      </c>
      <c r="H14" s="75" t="s">
        <v>79</v>
      </c>
      <c r="I14" s="76" t="s">
        <v>628</v>
      </c>
      <c r="J14" s="76" t="s">
        <v>629</v>
      </c>
      <c r="K14" s="76">
        <v>3</v>
      </c>
      <c r="L14" s="74"/>
      <c r="M14" s="77"/>
      <c r="N14" s="77" t="s">
        <v>1153</v>
      </c>
      <c r="O14" s="77" t="s">
        <v>1172</v>
      </c>
      <c r="P14" s="263"/>
      <c r="Q14" s="263">
        <v>0.33329999999999999</v>
      </c>
      <c r="R14" s="77" t="s">
        <v>1716</v>
      </c>
      <c r="S14" s="359"/>
      <c r="T14" s="359"/>
      <c r="U14" s="359"/>
      <c r="V14" s="359"/>
    </row>
    <row r="15" spans="1:22" ht="129.6" customHeight="1" x14ac:dyDescent="0.25">
      <c r="A15" s="78" t="s">
        <v>630</v>
      </c>
      <c r="B15" s="79" t="s">
        <v>631</v>
      </c>
      <c r="C15" s="79" t="s">
        <v>632</v>
      </c>
      <c r="D15" s="79" t="s">
        <v>633</v>
      </c>
      <c r="E15" s="81" t="s">
        <v>1180</v>
      </c>
      <c r="F15" s="287" t="s">
        <v>624</v>
      </c>
      <c r="G15" s="79" t="s">
        <v>153</v>
      </c>
      <c r="H15" s="80" t="s">
        <v>79</v>
      </c>
      <c r="I15" s="81" t="s">
        <v>634</v>
      </c>
      <c r="J15" s="81" t="s">
        <v>629</v>
      </c>
      <c r="K15" s="81">
        <v>4</v>
      </c>
      <c r="L15" s="79"/>
      <c r="M15" s="82"/>
      <c r="N15" s="82" t="s">
        <v>1132</v>
      </c>
      <c r="O15" s="82" t="s">
        <v>1177</v>
      </c>
      <c r="P15" s="264" t="s">
        <v>1198</v>
      </c>
      <c r="Q15" s="264">
        <v>0.33329999999999999</v>
      </c>
      <c r="R15" s="82" t="s">
        <v>1491</v>
      </c>
      <c r="S15" s="361">
        <v>0</v>
      </c>
      <c r="T15" s="361">
        <v>1</v>
      </c>
      <c r="U15" s="361"/>
      <c r="V15" s="361"/>
    </row>
    <row r="16" spans="1:22" ht="96" customHeight="1" x14ac:dyDescent="0.25">
      <c r="A16" s="78" t="s">
        <v>635</v>
      </c>
      <c r="B16" s="79" t="s">
        <v>636</v>
      </c>
      <c r="C16" s="79" t="s">
        <v>637</v>
      </c>
      <c r="D16" s="79" t="s">
        <v>638</v>
      </c>
      <c r="E16" s="81" t="s">
        <v>1181</v>
      </c>
      <c r="F16" s="287" t="s">
        <v>624</v>
      </c>
      <c r="G16" s="79" t="s">
        <v>153</v>
      </c>
      <c r="H16" s="80" t="s">
        <v>79</v>
      </c>
      <c r="I16" s="81" t="s">
        <v>639</v>
      </c>
      <c r="J16" s="81" t="s">
        <v>640</v>
      </c>
      <c r="K16" s="81">
        <v>4</v>
      </c>
      <c r="L16" s="79"/>
      <c r="M16" s="82"/>
      <c r="N16" s="82" t="s">
        <v>1153</v>
      </c>
      <c r="O16" s="82" t="s">
        <v>1177</v>
      </c>
      <c r="P16" s="264" t="s">
        <v>1198</v>
      </c>
      <c r="Q16" s="264">
        <v>0.33329999999999999</v>
      </c>
      <c r="R16" s="82"/>
      <c r="S16" s="361"/>
      <c r="T16" s="361"/>
      <c r="U16" s="361"/>
      <c r="V16" s="361"/>
    </row>
    <row r="17" spans="1:22" ht="30" x14ac:dyDescent="0.25">
      <c r="A17" s="78" t="s">
        <v>641</v>
      </c>
      <c r="B17" s="79" t="s">
        <v>642</v>
      </c>
      <c r="C17" s="79" t="s">
        <v>643</v>
      </c>
      <c r="D17" s="79" t="s">
        <v>644</v>
      </c>
      <c r="E17" s="81" t="s">
        <v>659</v>
      </c>
      <c r="F17" s="287" t="s">
        <v>624</v>
      </c>
      <c r="G17" s="79" t="s">
        <v>83</v>
      </c>
      <c r="H17" s="80" t="s">
        <v>79</v>
      </c>
      <c r="I17" s="81" t="s">
        <v>645</v>
      </c>
      <c r="J17" s="81"/>
      <c r="K17" s="81">
        <v>4</v>
      </c>
      <c r="L17" s="79"/>
      <c r="M17" s="82"/>
      <c r="N17" s="82" t="s">
        <v>1132</v>
      </c>
      <c r="O17" s="82" t="s">
        <v>1177</v>
      </c>
      <c r="P17" s="264" t="s">
        <v>1197</v>
      </c>
      <c r="Q17" s="264">
        <v>0.33339999999999997</v>
      </c>
      <c r="R17" s="82"/>
      <c r="S17" s="361"/>
      <c r="T17" s="361"/>
      <c r="U17" s="361"/>
      <c r="V17" s="361"/>
    </row>
    <row r="18" spans="1:22" x14ac:dyDescent="0.25">
      <c r="A18" s="98" t="s">
        <v>646</v>
      </c>
      <c r="B18" s="89" t="s">
        <v>647</v>
      </c>
      <c r="C18" s="89" t="s">
        <v>648</v>
      </c>
      <c r="D18" s="91" t="s">
        <v>78</v>
      </c>
      <c r="E18" s="91" t="s">
        <v>78</v>
      </c>
      <c r="F18" s="90" t="s">
        <v>630</v>
      </c>
      <c r="G18" s="89" t="s">
        <v>78</v>
      </c>
      <c r="H18" s="92" t="s">
        <v>65</v>
      </c>
      <c r="I18" s="91" t="s">
        <v>78</v>
      </c>
      <c r="J18" s="91"/>
      <c r="K18" s="91">
        <v>5</v>
      </c>
      <c r="L18" s="89" t="s">
        <v>105</v>
      </c>
      <c r="M18" s="93"/>
      <c r="N18" s="93" t="s">
        <v>1132</v>
      </c>
      <c r="O18" s="93" t="s">
        <v>1176</v>
      </c>
      <c r="P18" s="199">
        <v>800</v>
      </c>
      <c r="Q18" s="199"/>
      <c r="R18" s="93"/>
      <c r="S18" s="363"/>
      <c r="T18" s="363"/>
      <c r="U18" s="363"/>
      <c r="V18" s="363"/>
    </row>
    <row r="19" spans="1:22" x14ac:dyDescent="0.25">
      <c r="A19" s="98" t="s">
        <v>649</v>
      </c>
      <c r="B19" s="89" t="s">
        <v>650</v>
      </c>
      <c r="C19" s="89" t="s">
        <v>651</v>
      </c>
      <c r="D19" s="91" t="s">
        <v>78</v>
      </c>
      <c r="E19" s="91" t="s">
        <v>78</v>
      </c>
      <c r="F19" s="90" t="s">
        <v>630</v>
      </c>
      <c r="G19" s="89" t="s">
        <v>78</v>
      </c>
      <c r="H19" s="92" t="s">
        <v>65</v>
      </c>
      <c r="I19" s="91" t="s">
        <v>78</v>
      </c>
      <c r="J19" s="91"/>
      <c r="K19" s="91">
        <v>5</v>
      </c>
      <c r="L19" s="89" t="s">
        <v>105</v>
      </c>
      <c r="M19" s="93"/>
      <c r="N19" s="93" t="s">
        <v>1132</v>
      </c>
      <c r="O19" s="93" t="s">
        <v>1176</v>
      </c>
      <c r="P19" s="199">
        <v>700</v>
      </c>
      <c r="Q19" s="199"/>
      <c r="R19" s="93"/>
      <c r="S19" s="363"/>
      <c r="T19" s="363"/>
      <c r="U19" s="363"/>
      <c r="V19" s="363"/>
    </row>
    <row r="20" spans="1:22" ht="30" x14ac:dyDescent="0.25">
      <c r="A20" s="98" t="s">
        <v>652</v>
      </c>
      <c r="B20" s="89" t="s">
        <v>653</v>
      </c>
      <c r="C20" s="89" t="s">
        <v>654</v>
      </c>
      <c r="D20" s="91" t="s">
        <v>78</v>
      </c>
      <c r="E20" s="91" t="s">
        <v>78</v>
      </c>
      <c r="F20" s="90" t="s">
        <v>635</v>
      </c>
      <c r="G20" s="89" t="s">
        <v>78</v>
      </c>
      <c r="H20" s="92" t="s">
        <v>655</v>
      </c>
      <c r="I20" s="91" t="s">
        <v>78</v>
      </c>
      <c r="J20" s="91"/>
      <c r="K20" s="91">
        <v>5</v>
      </c>
      <c r="L20" s="89" t="s">
        <v>105</v>
      </c>
      <c r="M20" s="93"/>
      <c r="N20" s="93" t="s">
        <v>1132</v>
      </c>
      <c r="O20" s="93" t="s">
        <v>1176</v>
      </c>
      <c r="P20" s="199">
        <v>60</v>
      </c>
      <c r="Q20" s="199"/>
      <c r="R20" s="93"/>
      <c r="S20" s="363"/>
      <c r="T20" s="363"/>
      <c r="U20" s="363"/>
      <c r="V20" s="363"/>
    </row>
    <row r="21" spans="1:22" ht="30" x14ac:dyDescent="0.25">
      <c r="A21" s="98" t="s">
        <v>656</v>
      </c>
      <c r="B21" s="89" t="s">
        <v>657</v>
      </c>
      <c r="C21" s="89" t="s">
        <v>658</v>
      </c>
      <c r="D21" s="91" t="s">
        <v>78</v>
      </c>
      <c r="E21" s="91" t="s">
        <v>78</v>
      </c>
      <c r="F21" s="90" t="s">
        <v>635</v>
      </c>
      <c r="G21" s="89" t="s">
        <v>78</v>
      </c>
      <c r="H21" s="92" t="s">
        <v>655</v>
      </c>
      <c r="I21" s="91" t="s">
        <v>78</v>
      </c>
      <c r="J21" s="91"/>
      <c r="K21" s="91">
        <v>5</v>
      </c>
      <c r="L21" s="89" t="s">
        <v>105</v>
      </c>
      <c r="M21" s="93"/>
      <c r="N21" s="93" t="s">
        <v>1130</v>
      </c>
      <c r="O21" s="93" t="s">
        <v>1176</v>
      </c>
      <c r="P21" s="199">
        <v>80</v>
      </c>
      <c r="Q21" s="199"/>
      <c r="R21" s="93"/>
      <c r="S21" s="363"/>
      <c r="T21" s="363"/>
      <c r="U21" s="363"/>
      <c r="V21" s="363"/>
    </row>
    <row r="22" spans="1:22" x14ac:dyDescent="0.25">
      <c r="A22" s="98" t="s">
        <v>659</v>
      </c>
      <c r="B22" s="89" t="s">
        <v>660</v>
      </c>
      <c r="C22" s="89" t="s">
        <v>661</v>
      </c>
      <c r="D22" s="91" t="s">
        <v>78</v>
      </c>
      <c r="E22" s="91" t="s">
        <v>78</v>
      </c>
      <c r="F22" s="90" t="s">
        <v>641</v>
      </c>
      <c r="G22" s="89" t="s">
        <v>78</v>
      </c>
      <c r="H22" s="92" t="s">
        <v>1196</v>
      </c>
      <c r="I22" s="91" t="s">
        <v>78</v>
      </c>
      <c r="J22" s="91"/>
      <c r="K22" s="91">
        <v>5</v>
      </c>
      <c r="L22" s="89" t="s">
        <v>105</v>
      </c>
      <c r="M22" s="93"/>
      <c r="N22" s="93" t="s">
        <v>1132</v>
      </c>
      <c r="O22" s="93" t="s">
        <v>1176</v>
      </c>
      <c r="P22" s="199">
        <v>3</v>
      </c>
      <c r="Q22" s="199"/>
      <c r="R22" s="93"/>
      <c r="S22" s="363"/>
      <c r="T22" s="363"/>
      <c r="U22" s="363"/>
      <c r="V22" s="363"/>
    </row>
    <row r="23" spans="1:22" ht="45" x14ac:dyDescent="0.25">
      <c r="A23" s="73" t="s">
        <v>662</v>
      </c>
      <c r="B23" s="74" t="s">
        <v>663</v>
      </c>
      <c r="C23" s="74" t="s">
        <v>664</v>
      </c>
      <c r="D23" s="74" t="s">
        <v>665</v>
      </c>
      <c r="E23" s="76" t="s">
        <v>1182</v>
      </c>
      <c r="F23" s="286" t="s">
        <v>620</v>
      </c>
      <c r="G23" s="74" t="s">
        <v>78</v>
      </c>
      <c r="H23" s="75" t="s">
        <v>79</v>
      </c>
      <c r="I23" s="76" t="s">
        <v>666</v>
      </c>
      <c r="J23" s="76"/>
      <c r="K23" s="76">
        <v>3</v>
      </c>
      <c r="L23" s="74"/>
      <c r="M23" s="77"/>
      <c r="N23" s="77" t="s">
        <v>1154</v>
      </c>
      <c r="O23" s="77" t="s">
        <v>1172</v>
      </c>
      <c r="P23" s="263"/>
      <c r="Q23" s="263">
        <v>0.33329999999999999</v>
      </c>
      <c r="R23" s="77"/>
      <c r="S23" s="359"/>
      <c r="T23" s="359"/>
      <c r="U23" s="359"/>
      <c r="V23" s="359"/>
    </row>
    <row r="24" spans="1:22" ht="105" x14ac:dyDescent="0.25">
      <c r="A24" s="78" t="s">
        <v>667</v>
      </c>
      <c r="B24" s="79" t="s">
        <v>668</v>
      </c>
      <c r="C24" s="79" t="s">
        <v>669</v>
      </c>
      <c r="D24" s="79" t="s">
        <v>670</v>
      </c>
      <c r="E24" s="81" t="s">
        <v>1183</v>
      </c>
      <c r="F24" s="287" t="s">
        <v>662</v>
      </c>
      <c r="G24" s="79" t="s">
        <v>153</v>
      </c>
      <c r="H24" s="80" t="s">
        <v>79</v>
      </c>
      <c r="I24" s="81" t="s">
        <v>671</v>
      </c>
      <c r="J24" s="81"/>
      <c r="K24" s="81">
        <v>4</v>
      </c>
      <c r="L24" s="79"/>
      <c r="M24" s="82"/>
      <c r="N24" s="82" t="s">
        <v>1131</v>
      </c>
      <c r="O24" s="82" t="s">
        <v>1177</v>
      </c>
      <c r="P24" s="264" t="s">
        <v>1210</v>
      </c>
      <c r="Q24" s="264">
        <v>0.33329999999999999</v>
      </c>
      <c r="R24" s="82" t="s">
        <v>1491</v>
      </c>
      <c r="S24" s="361">
        <v>0</v>
      </c>
      <c r="T24" s="361">
        <v>1</v>
      </c>
      <c r="U24" s="361"/>
      <c r="V24" s="361"/>
    </row>
    <row r="25" spans="1:22" ht="75" x14ac:dyDescent="0.25">
      <c r="A25" s="78" t="s">
        <v>672</v>
      </c>
      <c r="B25" s="79" t="s">
        <v>673</v>
      </c>
      <c r="C25" s="79" t="s">
        <v>674</v>
      </c>
      <c r="D25" s="79" t="s">
        <v>675</v>
      </c>
      <c r="E25" s="81" t="s">
        <v>1184</v>
      </c>
      <c r="F25" s="287" t="s">
        <v>662</v>
      </c>
      <c r="G25" s="79" t="s">
        <v>83</v>
      </c>
      <c r="H25" s="80" t="s">
        <v>79</v>
      </c>
      <c r="I25" s="81" t="s">
        <v>676</v>
      </c>
      <c r="J25" s="81" t="s">
        <v>677</v>
      </c>
      <c r="K25" s="81">
        <v>4</v>
      </c>
      <c r="L25" s="79"/>
      <c r="M25" s="82"/>
      <c r="N25" s="82" t="s">
        <v>1154</v>
      </c>
      <c r="O25" s="82" t="s">
        <v>1177</v>
      </c>
      <c r="P25" s="264" t="s">
        <v>1199</v>
      </c>
      <c r="Q25" s="264">
        <v>0.33329999999999999</v>
      </c>
      <c r="R25" s="82"/>
      <c r="S25" s="361"/>
      <c r="T25" s="361"/>
      <c r="U25" s="361"/>
      <c r="V25" s="361"/>
    </row>
    <row r="26" spans="1:22" ht="30" x14ac:dyDescent="0.25">
      <c r="A26" s="78" t="s">
        <v>678</v>
      </c>
      <c r="B26" s="79" t="s">
        <v>679</v>
      </c>
      <c r="C26" s="79" t="s">
        <v>680</v>
      </c>
      <c r="D26" s="79" t="s">
        <v>681</v>
      </c>
      <c r="E26" s="81" t="s">
        <v>695</v>
      </c>
      <c r="F26" s="287" t="s">
        <v>662</v>
      </c>
      <c r="G26" s="79" t="s">
        <v>153</v>
      </c>
      <c r="H26" s="80" t="s">
        <v>79</v>
      </c>
      <c r="I26" s="81" t="s">
        <v>682</v>
      </c>
      <c r="J26" s="81"/>
      <c r="K26" s="81">
        <v>4</v>
      </c>
      <c r="L26" s="79"/>
      <c r="M26" s="82"/>
      <c r="N26" s="82" t="s">
        <v>1131</v>
      </c>
      <c r="O26" s="82" t="s">
        <v>1177</v>
      </c>
      <c r="P26" s="264" t="s">
        <v>1200</v>
      </c>
      <c r="Q26" s="264">
        <v>0.33339999999999997</v>
      </c>
      <c r="R26" s="82"/>
      <c r="S26" s="361"/>
      <c r="T26" s="361"/>
      <c r="U26" s="361"/>
      <c r="V26" s="361"/>
    </row>
    <row r="27" spans="1:22" x14ac:dyDescent="0.25">
      <c r="A27" s="98" t="s">
        <v>683</v>
      </c>
      <c r="B27" s="89" t="s">
        <v>1464</v>
      </c>
      <c r="C27" s="89" t="s">
        <v>684</v>
      </c>
      <c r="D27" s="91" t="s">
        <v>78</v>
      </c>
      <c r="E27" s="91" t="s">
        <v>78</v>
      </c>
      <c r="F27" s="90" t="s">
        <v>667</v>
      </c>
      <c r="G27" s="89" t="s">
        <v>78</v>
      </c>
      <c r="H27" s="92" t="s">
        <v>65</v>
      </c>
      <c r="I27" s="91" t="s">
        <v>78</v>
      </c>
      <c r="J27" s="91"/>
      <c r="K27" s="91">
        <v>5</v>
      </c>
      <c r="L27" s="89" t="s">
        <v>105</v>
      </c>
      <c r="M27" s="93"/>
      <c r="N27" s="93" t="s">
        <v>1131</v>
      </c>
      <c r="O27" s="93" t="s">
        <v>1176</v>
      </c>
      <c r="P27" s="199">
        <v>500</v>
      </c>
      <c r="Q27" s="199"/>
      <c r="R27" s="93"/>
      <c r="S27" s="363"/>
      <c r="T27" s="363"/>
      <c r="U27" s="363"/>
      <c r="V27" s="363"/>
    </row>
    <row r="28" spans="1:22" x14ac:dyDescent="0.25">
      <c r="A28" s="98" t="s">
        <v>685</v>
      </c>
      <c r="B28" s="89" t="s">
        <v>1463</v>
      </c>
      <c r="C28" s="89" t="s">
        <v>686</v>
      </c>
      <c r="D28" s="91" t="s">
        <v>78</v>
      </c>
      <c r="E28" s="91" t="s">
        <v>78</v>
      </c>
      <c r="F28" s="90" t="s">
        <v>667</v>
      </c>
      <c r="G28" s="89" t="s">
        <v>78</v>
      </c>
      <c r="H28" s="92" t="s">
        <v>65</v>
      </c>
      <c r="I28" s="91" t="s">
        <v>78</v>
      </c>
      <c r="J28" s="91"/>
      <c r="K28" s="91">
        <v>5</v>
      </c>
      <c r="L28" s="89" t="s">
        <v>105</v>
      </c>
      <c r="M28" s="93"/>
      <c r="N28" s="93" t="s">
        <v>1131</v>
      </c>
      <c r="O28" s="93" t="s">
        <v>1176</v>
      </c>
      <c r="P28" s="199">
        <v>450</v>
      </c>
      <c r="Q28" s="199"/>
      <c r="R28" s="93"/>
      <c r="S28" s="363"/>
      <c r="T28" s="363"/>
      <c r="U28" s="363"/>
      <c r="V28" s="363"/>
    </row>
    <row r="29" spans="1:22" ht="30" x14ac:dyDescent="0.25">
      <c r="A29" s="98" t="s">
        <v>687</v>
      </c>
      <c r="B29" s="89" t="s">
        <v>688</v>
      </c>
      <c r="C29" s="89" t="s">
        <v>689</v>
      </c>
      <c r="D29" s="91" t="s">
        <v>78</v>
      </c>
      <c r="E29" s="91" t="s">
        <v>78</v>
      </c>
      <c r="F29" s="90" t="s">
        <v>672</v>
      </c>
      <c r="G29" s="89" t="s">
        <v>78</v>
      </c>
      <c r="H29" s="92" t="s">
        <v>690</v>
      </c>
      <c r="I29" s="91" t="s">
        <v>78</v>
      </c>
      <c r="J29" s="91" t="s">
        <v>691</v>
      </c>
      <c r="K29" s="91">
        <v>5</v>
      </c>
      <c r="L29" s="89" t="s">
        <v>105</v>
      </c>
      <c r="M29" s="93"/>
      <c r="N29" s="93" t="s">
        <v>1132</v>
      </c>
      <c r="O29" s="93" t="s">
        <v>1176</v>
      </c>
      <c r="P29" s="199">
        <v>5</v>
      </c>
      <c r="Q29" s="199"/>
      <c r="R29" s="93"/>
      <c r="S29" s="363"/>
      <c r="T29" s="363"/>
      <c r="U29" s="363"/>
      <c r="V29" s="363"/>
    </row>
    <row r="30" spans="1:22" ht="30" x14ac:dyDescent="0.25">
      <c r="A30" s="98" t="s">
        <v>692</v>
      </c>
      <c r="B30" s="89" t="s">
        <v>693</v>
      </c>
      <c r="C30" s="89" t="s">
        <v>694</v>
      </c>
      <c r="D30" s="91" t="s">
        <v>78</v>
      </c>
      <c r="E30" s="91" t="s">
        <v>78</v>
      </c>
      <c r="F30" s="90" t="s">
        <v>672</v>
      </c>
      <c r="G30" s="89" t="s">
        <v>78</v>
      </c>
      <c r="H30" s="92" t="s">
        <v>690</v>
      </c>
      <c r="I30" s="91" t="s">
        <v>78</v>
      </c>
      <c r="J30" s="91" t="s">
        <v>691</v>
      </c>
      <c r="K30" s="91">
        <v>5</v>
      </c>
      <c r="L30" s="89" t="s">
        <v>105</v>
      </c>
      <c r="M30" s="93"/>
      <c r="N30" s="93" t="s">
        <v>1142</v>
      </c>
      <c r="O30" s="93" t="s">
        <v>1176</v>
      </c>
      <c r="P30" s="199">
        <v>10</v>
      </c>
      <c r="Q30" s="199"/>
      <c r="R30" s="93"/>
      <c r="S30" s="363"/>
      <c r="T30" s="363"/>
      <c r="U30" s="363"/>
      <c r="V30" s="363"/>
    </row>
    <row r="31" spans="1:22" x14ac:dyDescent="0.25">
      <c r="A31" s="98" t="s">
        <v>695</v>
      </c>
      <c r="B31" s="89" t="s">
        <v>696</v>
      </c>
      <c r="C31" s="89" t="s">
        <v>697</v>
      </c>
      <c r="D31" s="91" t="s">
        <v>78</v>
      </c>
      <c r="E31" s="91" t="s">
        <v>78</v>
      </c>
      <c r="F31" s="90" t="s">
        <v>678</v>
      </c>
      <c r="G31" s="89" t="s">
        <v>78</v>
      </c>
      <c r="H31" s="92" t="s">
        <v>1196</v>
      </c>
      <c r="I31" s="91" t="s">
        <v>78</v>
      </c>
      <c r="J31" s="91"/>
      <c r="K31" s="91">
        <v>5</v>
      </c>
      <c r="L31" s="89" t="s">
        <v>105</v>
      </c>
      <c r="M31" s="93"/>
      <c r="N31" s="93" t="s">
        <v>1131</v>
      </c>
      <c r="O31" s="93" t="s">
        <v>1176</v>
      </c>
      <c r="P31" s="199">
        <v>2</v>
      </c>
      <c r="Q31" s="199"/>
      <c r="R31" s="93"/>
      <c r="S31" s="363"/>
      <c r="T31" s="363"/>
      <c r="U31" s="363"/>
      <c r="V31" s="363"/>
    </row>
    <row r="32" spans="1:22" ht="90" x14ac:dyDescent="0.25">
      <c r="A32" s="83" t="s">
        <v>698</v>
      </c>
      <c r="B32" s="84" t="s">
        <v>699</v>
      </c>
      <c r="C32" s="84" t="s">
        <v>1717</v>
      </c>
      <c r="D32" s="84" t="s">
        <v>700</v>
      </c>
      <c r="E32" s="85" t="s">
        <v>1517</v>
      </c>
      <c r="F32" s="288" t="s">
        <v>620</v>
      </c>
      <c r="G32" s="84" t="s">
        <v>78</v>
      </c>
      <c r="H32" s="86" t="s">
        <v>79</v>
      </c>
      <c r="I32" s="76" t="s">
        <v>1718</v>
      </c>
      <c r="J32" s="85" t="s">
        <v>1704</v>
      </c>
      <c r="K32" s="85" t="s">
        <v>150</v>
      </c>
      <c r="L32" s="85"/>
      <c r="M32" s="222"/>
      <c r="N32" s="222" t="s">
        <v>1132</v>
      </c>
      <c r="O32" s="222" t="s">
        <v>1172</v>
      </c>
      <c r="P32" s="265"/>
      <c r="Q32" s="265">
        <v>0.33339999999999997</v>
      </c>
      <c r="R32" s="87"/>
      <c r="S32" s="359"/>
      <c r="T32" s="359"/>
      <c r="U32" s="359"/>
      <c r="V32" s="359"/>
    </row>
    <row r="33" spans="1:22" ht="111" customHeight="1" x14ac:dyDescent="0.25">
      <c r="A33" s="78" t="s">
        <v>701</v>
      </c>
      <c r="B33" s="79" t="s">
        <v>702</v>
      </c>
      <c r="C33" s="79" t="s">
        <v>1719</v>
      </c>
      <c r="D33" s="79" t="s">
        <v>703</v>
      </c>
      <c r="E33" s="81" t="s">
        <v>1186</v>
      </c>
      <c r="F33" s="287" t="s">
        <v>698</v>
      </c>
      <c r="G33" s="79" t="s">
        <v>83</v>
      </c>
      <c r="H33" s="80" t="s">
        <v>79</v>
      </c>
      <c r="I33" s="81" t="s">
        <v>1720</v>
      </c>
      <c r="J33" s="81" t="s">
        <v>1704</v>
      </c>
      <c r="K33" s="81" t="s">
        <v>158</v>
      </c>
      <c r="L33" s="79"/>
      <c r="M33" s="82"/>
      <c r="N33" s="82" t="s">
        <v>1132</v>
      </c>
      <c r="O33" s="82" t="s">
        <v>1177</v>
      </c>
      <c r="P33" s="264" t="s">
        <v>1217</v>
      </c>
      <c r="Q33" s="264">
        <v>0.33329999999999999</v>
      </c>
      <c r="R33" s="82" t="s">
        <v>1491</v>
      </c>
      <c r="S33" s="361">
        <v>0</v>
      </c>
      <c r="T33" s="361">
        <v>1</v>
      </c>
      <c r="U33" s="361"/>
      <c r="V33" s="361"/>
    </row>
    <row r="34" spans="1:22" ht="92.25" customHeight="1" x14ac:dyDescent="0.25">
      <c r="A34" s="78" t="s">
        <v>704</v>
      </c>
      <c r="B34" s="79" t="s">
        <v>1195</v>
      </c>
      <c r="C34" s="79" t="s">
        <v>705</v>
      </c>
      <c r="D34" s="79" t="s">
        <v>706</v>
      </c>
      <c r="E34" s="81" t="s">
        <v>1187</v>
      </c>
      <c r="F34" s="287" t="s">
        <v>698</v>
      </c>
      <c r="G34" s="79" t="s">
        <v>153</v>
      </c>
      <c r="H34" s="80" t="s">
        <v>79</v>
      </c>
      <c r="I34" s="81" t="s">
        <v>1194</v>
      </c>
      <c r="J34" s="81" t="s">
        <v>629</v>
      </c>
      <c r="K34" s="81" t="s">
        <v>158</v>
      </c>
      <c r="L34" s="79"/>
      <c r="M34" s="82"/>
      <c r="N34" s="82" t="s">
        <v>1132</v>
      </c>
      <c r="O34" s="82" t="s">
        <v>1177</v>
      </c>
      <c r="P34" s="264" t="s">
        <v>1217</v>
      </c>
      <c r="Q34" s="264">
        <v>0.33329999999999999</v>
      </c>
      <c r="R34" s="82" t="s">
        <v>1491</v>
      </c>
      <c r="S34" s="361">
        <v>0</v>
      </c>
      <c r="T34" s="361">
        <v>1</v>
      </c>
      <c r="U34" s="361"/>
      <c r="V34" s="361"/>
    </row>
    <row r="35" spans="1:22" ht="92.25" customHeight="1" x14ac:dyDescent="0.25">
      <c r="A35" s="78" t="s">
        <v>1372</v>
      </c>
      <c r="B35" s="79" t="s">
        <v>1373</v>
      </c>
      <c r="C35" s="79" t="s">
        <v>1721</v>
      </c>
      <c r="D35" s="79" t="s">
        <v>1374</v>
      </c>
      <c r="E35" s="81" t="s">
        <v>1375</v>
      </c>
      <c r="F35" s="287" t="s">
        <v>698</v>
      </c>
      <c r="G35" s="79" t="s">
        <v>153</v>
      </c>
      <c r="H35" s="80" t="s">
        <v>79</v>
      </c>
      <c r="I35" s="81" t="s">
        <v>1378</v>
      </c>
      <c r="J35" s="81" t="s">
        <v>629</v>
      </c>
      <c r="K35" s="81" t="s">
        <v>158</v>
      </c>
      <c r="L35" s="81"/>
      <c r="M35" s="81"/>
      <c r="N35" s="81" t="s">
        <v>1132</v>
      </c>
      <c r="O35" s="82" t="s">
        <v>1177</v>
      </c>
      <c r="P35" s="345" t="s">
        <v>1379</v>
      </c>
      <c r="Q35" s="81">
        <v>0.33339999999999997</v>
      </c>
      <c r="R35" s="82"/>
      <c r="S35" s="361"/>
      <c r="T35" s="361"/>
      <c r="U35" s="361"/>
      <c r="V35" s="361"/>
    </row>
    <row r="36" spans="1:22" ht="38.25" customHeight="1" x14ac:dyDescent="0.25">
      <c r="A36" s="98" t="s">
        <v>707</v>
      </c>
      <c r="B36" s="89" t="s">
        <v>1214</v>
      </c>
      <c r="C36" s="89" t="s">
        <v>1215</v>
      </c>
      <c r="D36" s="91" t="s">
        <v>78</v>
      </c>
      <c r="E36" s="91" t="s">
        <v>78</v>
      </c>
      <c r="F36" s="90" t="s">
        <v>701</v>
      </c>
      <c r="G36" s="89" t="s">
        <v>78</v>
      </c>
      <c r="H36" s="92" t="s">
        <v>329</v>
      </c>
      <c r="I36" s="91" t="s">
        <v>78</v>
      </c>
      <c r="J36" s="91"/>
      <c r="K36" s="91">
        <v>5</v>
      </c>
      <c r="L36" s="89" t="s">
        <v>105</v>
      </c>
      <c r="M36" s="93"/>
      <c r="N36" s="93" t="s">
        <v>1132</v>
      </c>
      <c r="O36" s="93" t="s">
        <v>1176</v>
      </c>
      <c r="P36" s="199">
        <v>5000</v>
      </c>
      <c r="Q36" s="199"/>
      <c r="R36" s="93" t="s">
        <v>1201</v>
      </c>
      <c r="S36" s="363"/>
      <c r="T36" s="363"/>
      <c r="U36" s="363"/>
      <c r="V36" s="363"/>
    </row>
    <row r="37" spans="1:22" ht="38.25" customHeight="1" x14ac:dyDescent="0.25">
      <c r="A37" s="98" t="s">
        <v>708</v>
      </c>
      <c r="B37" s="89" t="s">
        <v>709</v>
      </c>
      <c r="C37" s="89" t="s">
        <v>710</v>
      </c>
      <c r="D37" s="91" t="s">
        <v>78</v>
      </c>
      <c r="E37" s="91" t="s">
        <v>78</v>
      </c>
      <c r="F37" s="90" t="s">
        <v>704</v>
      </c>
      <c r="G37" s="89" t="s">
        <v>78</v>
      </c>
      <c r="H37" s="92" t="s">
        <v>329</v>
      </c>
      <c r="I37" s="91" t="s">
        <v>78</v>
      </c>
      <c r="J37" s="95"/>
      <c r="K37" s="91" t="s">
        <v>337</v>
      </c>
      <c r="L37" s="89" t="s">
        <v>105</v>
      </c>
      <c r="M37" s="93"/>
      <c r="N37" s="93" t="s">
        <v>1132</v>
      </c>
      <c r="O37" s="93" t="s">
        <v>1176</v>
      </c>
      <c r="P37" s="199">
        <v>4000</v>
      </c>
      <c r="Q37" s="199"/>
      <c r="R37" s="93"/>
      <c r="S37" s="363"/>
      <c r="T37" s="363"/>
      <c r="U37" s="363"/>
      <c r="V37" s="363"/>
    </row>
    <row r="38" spans="1:22" ht="38.25" customHeight="1" x14ac:dyDescent="0.25">
      <c r="A38" s="98" t="s">
        <v>711</v>
      </c>
      <c r="B38" s="89" t="s">
        <v>712</v>
      </c>
      <c r="C38" s="89" t="s">
        <v>1216</v>
      </c>
      <c r="D38" s="91" t="s">
        <v>78</v>
      </c>
      <c r="E38" s="91" t="s">
        <v>78</v>
      </c>
      <c r="F38" s="90" t="s">
        <v>1185</v>
      </c>
      <c r="G38" s="89" t="s">
        <v>78</v>
      </c>
      <c r="H38" s="92" t="s">
        <v>329</v>
      </c>
      <c r="I38" s="91" t="s">
        <v>78</v>
      </c>
      <c r="J38" s="95"/>
      <c r="K38" s="91" t="s">
        <v>337</v>
      </c>
      <c r="L38" s="89" t="s">
        <v>105</v>
      </c>
      <c r="M38" s="93"/>
      <c r="N38" s="93" t="s">
        <v>1132</v>
      </c>
      <c r="O38" s="93" t="s">
        <v>1176</v>
      </c>
      <c r="P38" s="199">
        <v>3000</v>
      </c>
      <c r="Q38" s="199"/>
      <c r="R38" s="93"/>
      <c r="S38" s="363"/>
      <c r="T38" s="363"/>
      <c r="U38" s="363"/>
      <c r="V38" s="363"/>
    </row>
    <row r="39" spans="1:22" ht="38.25" customHeight="1" x14ac:dyDescent="0.25">
      <c r="A39" s="98" t="s">
        <v>1375</v>
      </c>
      <c r="B39" s="89" t="s">
        <v>1376</v>
      </c>
      <c r="C39" s="89" t="s">
        <v>1377</v>
      </c>
      <c r="D39" s="95" t="s">
        <v>78</v>
      </c>
      <c r="E39" s="91" t="s">
        <v>78</v>
      </c>
      <c r="F39" s="90" t="s">
        <v>1372</v>
      </c>
      <c r="G39" s="89" t="s">
        <v>78</v>
      </c>
      <c r="H39" s="92" t="s">
        <v>65</v>
      </c>
      <c r="I39" s="91" t="s">
        <v>78</v>
      </c>
      <c r="J39" s="95"/>
      <c r="K39" s="91" t="s">
        <v>337</v>
      </c>
      <c r="L39" s="89" t="s">
        <v>105</v>
      </c>
      <c r="M39" s="97"/>
      <c r="N39" s="97" t="s">
        <v>1132</v>
      </c>
      <c r="O39" s="97" t="s">
        <v>1176</v>
      </c>
      <c r="P39" s="267">
        <v>500</v>
      </c>
      <c r="Q39" s="267"/>
      <c r="R39" s="93"/>
      <c r="S39" s="363"/>
      <c r="T39" s="363"/>
      <c r="U39" s="363"/>
      <c r="V39" s="363"/>
    </row>
    <row r="40" spans="1:22" ht="92.25" customHeight="1" x14ac:dyDescent="0.25">
      <c r="A40" s="68" t="s">
        <v>713</v>
      </c>
      <c r="B40" s="69" t="s">
        <v>714</v>
      </c>
      <c r="C40" s="69" t="s">
        <v>1102</v>
      </c>
      <c r="D40" s="69" t="s">
        <v>715</v>
      </c>
      <c r="E40" s="71" t="s">
        <v>1188</v>
      </c>
      <c r="F40" s="285" t="s">
        <v>588</v>
      </c>
      <c r="G40" s="69" t="s">
        <v>78</v>
      </c>
      <c r="H40" s="70" t="s">
        <v>79</v>
      </c>
      <c r="I40" s="71" t="s">
        <v>716</v>
      </c>
      <c r="J40" s="71" t="s">
        <v>717</v>
      </c>
      <c r="K40" s="71">
        <v>2</v>
      </c>
      <c r="L40" s="69"/>
      <c r="M40" s="72"/>
      <c r="N40" s="72" t="s">
        <v>1142</v>
      </c>
      <c r="O40" s="72" t="s">
        <v>1172</v>
      </c>
      <c r="P40" s="261"/>
      <c r="Q40" s="261">
        <v>0.2</v>
      </c>
      <c r="R40" s="72" t="s">
        <v>1101</v>
      </c>
      <c r="S40" s="360"/>
      <c r="T40" s="360"/>
      <c r="U40" s="360"/>
      <c r="V40" s="360"/>
    </row>
    <row r="41" spans="1:22" ht="150" x14ac:dyDescent="0.25">
      <c r="A41" s="83" t="s">
        <v>718</v>
      </c>
      <c r="B41" s="84" t="s">
        <v>719</v>
      </c>
      <c r="C41" s="84" t="s">
        <v>720</v>
      </c>
      <c r="D41" s="84" t="s">
        <v>1117</v>
      </c>
      <c r="E41" s="85" t="s">
        <v>1189</v>
      </c>
      <c r="F41" s="288" t="s">
        <v>713</v>
      </c>
      <c r="G41" s="84" t="s">
        <v>83</v>
      </c>
      <c r="H41" s="86" t="s">
        <v>79</v>
      </c>
      <c r="I41" s="85" t="s">
        <v>721</v>
      </c>
      <c r="J41" s="85" t="s">
        <v>1383</v>
      </c>
      <c r="K41" s="85">
        <v>3</v>
      </c>
      <c r="L41" s="84"/>
      <c r="M41" s="87"/>
      <c r="N41" s="87" t="s">
        <v>1142</v>
      </c>
      <c r="O41" s="87" t="s">
        <v>1177</v>
      </c>
      <c r="P41" s="266" t="s">
        <v>1204</v>
      </c>
      <c r="Q41" s="266">
        <v>0.25</v>
      </c>
      <c r="R41" s="87" t="s">
        <v>1518</v>
      </c>
      <c r="S41" s="359">
        <v>0</v>
      </c>
      <c r="T41" s="359">
        <v>1</v>
      </c>
      <c r="U41" s="359"/>
      <c r="V41" s="359"/>
    </row>
    <row r="42" spans="1:22" ht="210" x14ac:dyDescent="0.25">
      <c r="A42" s="83" t="s">
        <v>722</v>
      </c>
      <c r="B42" s="84" t="s">
        <v>1116</v>
      </c>
      <c r="C42" s="84" t="s">
        <v>1722</v>
      </c>
      <c r="D42" s="84" t="s">
        <v>1118</v>
      </c>
      <c r="E42" s="85" t="s">
        <v>1190</v>
      </c>
      <c r="F42" s="288" t="s">
        <v>713</v>
      </c>
      <c r="G42" s="84" t="s">
        <v>153</v>
      </c>
      <c r="H42" s="86" t="s">
        <v>79</v>
      </c>
      <c r="I42" s="85" t="s">
        <v>1723</v>
      </c>
      <c r="J42" s="85" t="s">
        <v>1724</v>
      </c>
      <c r="K42" s="85">
        <v>3</v>
      </c>
      <c r="L42" s="84"/>
      <c r="M42" s="87"/>
      <c r="N42" s="87" t="s">
        <v>1142</v>
      </c>
      <c r="O42" s="87" t="s">
        <v>1177</v>
      </c>
      <c r="P42" s="266" t="s">
        <v>1204</v>
      </c>
      <c r="Q42" s="266">
        <v>0.25</v>
      </c>
      <c r="R42" s="87" t="s">
        <v>1725</v>
      </c>
      <c r="S42" s="359">
        <v>0</v>
      </c>
      <c r="T42" s="359">
        <v>1</v>
      </c>
      <c r="U42" s="359"/>
      <c r="V42" s="359"/>
    </row>
    <row r="43" spans="1:22" ht="240" x14ac:dyDescent="0.25">
      <c r="A43" s="83" t="s">
        <v>723</v>
      </c>
      <c r="B43" s="84" t="s">
        <v>724</v>
      </c>
      <c r="C43" s="84" t="s">
        <v>725</v>
      </c>
      <c r="D43" s="84" t="s">
        <v>726</v>
      </c>
      <c r="E43" s="85" t="s">
        <v>1191</v>
      </c>
      <c r="F43" s="288" t="s">
        <v>713</v>
      </c>
      <c r="G43" s="84" t="s">
        <v>153</v>
      </c>
      <c r="H43" s="86" t="s">
        <v>79</v>
      </c>
      <c r="I43" s="85" t="s">
        <v>727</v>
      </c>
      <c r="J43" s="85" t="s">
        <v>728</v>
      </c>
      <c r="K43" s="85">
        <v>3</v>
      </c>
      <c r="L43" s="84"/>
      <c r="M43" s="87"/>
      <c r="N43" s="87" t="s">
        <v>1142</v>
      </c>
      <c r="O43" s="87" t="s">
        <v>1177</v>
      </c>
      <c r="P43" s="266" t="s">
        <v>1203</v>
      </c>
      <c r="Q43" s="266">
        <v>0.25</v>
      </c>
      <c r="R43" s="87" t="s">
        <v>1726</v>
      </c>
      <c r="S43" s="359">
        <v>0</v>
      </c>
      <c r="T43" s="359">
        <v>1</v>
      </c>
      <c r="U43" s="359"/>
      <c r="V43" s="359"/>
    </row>
    <row r="44" spans="1:22" ht="90" x14ac:dyDescent="0.25">
      <c r="A44" s="83" t="s">
        <v>729</v>
      </c>
      <c r="B44" s="84" t="s">
        <v>730</v>
      </c>
      <c r="C44" s="84" t="s">
        <v>1727</v>
      </c>
      <c r="D44" s="84" t="s">
        <v>731</v>
      </c>
      <c r="E44" s="85" t="s">
        <v>1192</v>
      </c>
      <c r="F44" s="288" t="s">
        <v>713</v>
      </c>
      <c r="G44" s="84" t="s">
        <v>78</v>
      </c>
      <c r="H44" s="86" t="s">
        <v>79</v>
      </c>
      <c r="I44" s="85" t="s">
        <v>732</v>
      </c>
      <c r="J44" s="85" t="s">
        <v>1728</v>
      </c>
      <c r="K44" s="85">
        <v>3</v>
      </c>
      <c r="L44" s="84"/>
      <c r="M44" s="87"/>
      <c r="N44" s="87" t="s">
        <v>1142</v>
      </c>
      <c r="O44" s="87" t="s">
        <v>1172</v>
      </c>
      <c r="P44" s="266"/>
      <c r="Q44" s="266">
        <v>0.25</v>
      </c>
      <c r="R44" s="87"/>
      <c r="S44" s="359"/>
      <c r="T44" s="359"/>
      <c r="U44" s="359"/>
      <c r="V44" s="359"/>
    </row>
    <row r="45" spans="1:22" ht="45" x14ac:dyDescent="0.25">
      <c r="A45" s="88" t="s">
        <v>733</v>
      </c>
      <c r="B45" s="89" t="s">
        <v>734</v>
      </c>
      <c r="C45" s="89" t="s">
        <v>735</v>
      </c>
      <c r="D45" s="91" t="s">
        <v>78</v>
      </c>
      <c r="E45" s="91" t="s">
        <v>78</v>
      </c>
      <c r="F45" s="90" t="s">
        <v>1336</v>
      </c>
      <c r="G45" s="89" t="s">
        <v>78</v>
      </c>
      <c r="H45" s="92" t="s">
        <v>329</v>
      </c>
      <c r="I45" s="91" t="s">
        <v>78</v>
      </c>
      <c r="J45" s="91"/>
      <c r="K45" s="91">
        <v>5</v>
      </c>
      <c r="L45" s="89" t="s">
        <v>105</v>
      </c>
      <c r="M45" s="93"/>
      <c r="N45" s="93" t="s">
        <v>1142</v>
      </c>
      <c r="O45" s="93" t="s">
        <v>1176</v>
      </c>
      <c r="P45" s="199">
        <v>5</v>
      </c>
      <c r="Q45" s="199"/>
      <c r="R45" s="93"/>
      <c r="S45" s="363"/>
      <c r="T45" s="363"/>
      <c r="U45" s="363"/>
      <c r="V45" s="363"/>
    </row>
    <row r="46" spans="1:22" ht="30" x14ac:dyDescent="0.25">
      <c r="A46" s="88" t="s">
        <v>736</v>
      </c>
      <c r="B46" s="94" t="s">
        <v>737</v>
      </c>
      <c r="C46" s="89" t="s">
        <v>738</v>
      </c>
      <c r="D46" s="95" t="s">
        <v>78</v>
      </c>
      <c r="E46" s="95" t="s">
        <v>78</v>
      </c>
      <c r="F46" s="289" t="s">
        <v>718</v>
      </c>
      <c r="G46" s="94" t="s">
        <v>78</v>
      </c>
      <c r="H46" s="96" t="s">
        <v>329</v>
      </c>
      <c r="I46" s="95" t="s">
        <v>78</v>
      </c>
      <c r="J46" s="95" t="s">
        <v>739</v>
      </c>
      <c r="K46" s="91">
        <v>5</v>
      </c>
      <c r="L46" s="89" t="s">
        <v>105</v>
      </c>
      <c r="M46" s="97"/>
      <c r="N46" s="97" t="s">
        <v>1142</v>
      </c>
      <c r="O46" s="93" t="s">
        <v>1176</v>
      </c>
      <c r="P46" s="267">
        <v>2</v>
      </c>
      <c r="Q46" s="267"/>
      <c r="R46" s="97"/>
      <c r="S46" s="363"/>
      <c r="T46" s="363"/>
      <c r="U46" s="363"/>
      <c r="V46" s="363"/>
    </row>
    <row r="47" spans="1:22" ht="30" x14ac:dyDescent="0.25">
      <c r="A47" s="88" t="s">
        <v>740</v>
      </c>
      <c r="B47" s="94" t="s">
        <v>1114</v>
      </c>
      <c r="C47" s="89" t="s">
        <v>1115</v>
      </c>
      <c r="D47" s="95" t="s">
        <v>78</v>
      </c>
      <c r="E47" s="95" t="s">
        <v>78</v>
      </c>
      <c r="F47" s="289" t="s">
        <v>722</v>
      </c>
      <c r="G47" s="94" t="s">
        <v>78</v>
      </c>
      <c r="H47" s="96" t="s">
        <v>329</v>
      </c>
      <c r="I47" s="95" t="s">
        <v>78</v>
      </c>
      <c r="J47" s="95" t="s">
        <v>101</v>
      </c>
      <c r="K47" s="91">
        <v>5</v>
      </c>
      <c r="L47" s="89" t="s">
        <v>105</v>
      </c>
      <c r="M47" s="97"/>
      <c r="N47" s="97" t="s">
        <v>1142</v>
      </c>
      <c r="O47" s="93" t="s">
        <v>1176</v>
      </c>
      <c r="P47" s="267">
        <v>3</v>
      </c>
      <c r="Q47" s="267"/>
      <c r="R47" s="97"/>
      <c r="S47" s="363"/>
      <c r="T47" s="363"/>
      <c r="U47" s="363"/>
      <c r="V47" s="363"/>
    </row>
    <row r="48" spans="1:22" x14ac:dyDescent="0.25">
      <c r="A48" s="88" t="s">
        <v>741</v>
      </c>
      <c r="B48" s="94" t="s">
        <v>742</v>
      </c>
      <c r="C48" s="89" t="s">
        <v>743</v>
      </c>
      <c r="D48" s="95" t="s">
        <v>78</v>
      </c>
      <c r="E48" s="95" t="s">
        <v>78</v>
      </c>
      <c r="F48" s="289" t="s">
        <v>723</v>
      </c>
      <c r="G48" s="94" t="s">
        <v>78</v>
      </c>
      <c r="H48" s="96" t="s">
        <v>329</v>
      </c>
      <c r="I48" s="95" t="s">
        <v>78</v>
      </c>
      <c r="J48" s="95" t="s">
        <v>728</v>
      </c>
      <c r="K48" s="91">
        <v>5</v>
      </c>
      <c r="L48" s="89" t="s">
        <v>105</v>
      </c>
      <c r="M48" s="97"/>
      <c r="N48" s="97" t="s">
        <v>1142</v>
      </c>
      <c r="O48" s="93" t="s">
        <v>1176</v>
      </c>
      <c r="P48" s="267">
        <v>1</v>
      </c>
      <c r="Q48" s="267"/>
      <c r="R48" s="97"/>
      <c r="S48" s="363"/>
      <c r="T48" s="363"/>
      <c r="U48" s="363"/>
      <c r="V48" s="363"/>
    </row>
    <row r="49" spans="1:22" ht="120" x14ac:dyDescent="0.25">
      <c r="A49" s="88" t="s">
        <v>744</v>
      </c>
      <c r="B49" s="94" t="s">
        <v>745</v>
      </c>
      <c r="C49" s="94" t="s">
        <v>1630</v>
      </c>
      <c r="D49" s="95" t="s">
        <v>78</v>
      </c>
      <c r="E49" s="95" t="s">
        <v>78</v>
      </c>
      <c r="F49" s="289" t="s">
        <v>729</v>
      </c>
      <c r="G49" s="94" t="s">
        <v>746</v>
      </c>
      <c r="H49" s="96" t="s">
        <v>79</v>
      </c>
      <c r="I49" s="95" t="s">
        <v>1631</v>
      </c>
      <c r="J49" s="95" t="s">
        <v>1632</v>
      </c>
      <c r="K49" s="91">
        <v>5</v>
      </c>
      <c r="L49" s="89" t="s">
        <v>105</v>
      </c>
      <c r="M49" s="97"/>
      <c r="N49" s="97" t="s">
        <v>1142</v>
      </c>
      <c r="O49" s="93" t="s">
        <v>1177</v>
      </c>
      <c r="P49" s="267" t="s">
        <v>1202</v>
      </c>
      <c r="Q49" s="267">
        <v>0.5</v>
      </c>
      <c r="R49" s="97" t="s">
        <v>1519</v>
      </c>
      <c r="S49" s="363"/>
      <c r="T49" s="363"/>
      <c r="U49" s="363"/>
      <c r="V49" s="363"/>
    </row>
    <row r="50" spans="1:22" ht="120" x14ac:dyDescent="0.25">
      <c r="A50" s="88" t="s">
        <v>747</v>
      </c>
      <c r="B50" s="94" t="s">
        <v>748</v>
      </c>
      <c r="C50" s="94" t="s">
        <v>1633</v>
      </c>
      <c r="D50" s="95" t="s">
        <v>78</v>
      </c>
      <c r="E50" s="95" t="s">
        <v>78</v>
      </c>
      <c r="F50" s="289" t="s">
        <v>729</v>
      </c>
      <c r="G50" s="94" t="s">
        <v>153</v>
      </c>
      <c r="H50" s="96" t="s">
        <v>79</v>
      </c>
      <c r="I50" s="95" t="s">
        <v>749</v>
      </c>
      <c r="J50" s="95" t="s">
        <v>1634</v>
      </c>
      <c r="K50" s="91">
        <v>5</v>
      </c>
      <c r="L50" s="89" t="s">
        <v>105</v>
      </c>
      <c r="M50" s="97"/>
      <c r="N50" s="97" t="s">
        <v>1148</v>
      </c>
      <c r="O50" s="93" t="s">
        <v>1177</v>
      </c>
      <c r="P50" s="267" t="s">
        <v>1202</v>
      </c>
      <c r="Q50" s="267">
        <v>0.5</v>
      </c>
      <c r="R50" s="97" t="s">
        <v>1519</v>
      </c>
      <c r="S50" s="363"/>
      <c r="T50" s="363"/>
      <c r="U50" s="363"/>
      <c r="V50" s="363"/>
    </row>
    <row r="51" spans="1:22" ht="105" x14ac:dyDescent="0.25">
      <c r="A51" s="200" t="s">
        <v>751</v>
      </c>
      <c r="B51" s="201" t="s">
        <v>752</v>
      </c>
      <c r="C51" s="201" t="s">
        <v>1729</v>
      </c>
      <c r="D51" s="201" t="s">
        <v>753</v>
      </c>
      <c r="E51" s="202" t="s">
        <v>1193</v>
      </c>
      <c r="F51" s="290" t="s">
        <v>588</v>
      </c>
      <c r="G51" s="201" t="s">
        <v>78</v>
      </c>
      <c r="H51" s="203" t="s">
        <v>79</v>
      </c>
      <c r="I51" s="202" t="s">
        <v>1730</v>
      </c>
      <c r="J51" s="202" t="s">
        <v>936</v>
      </c>
      <c r="K51" s="202" t="s">
        <v>364</v>
      </c>
      <c r="L51" s="202"/>
      <c r="M51" s="202"/>
      <c r="N51" s="202" t="s">
        <v>1130</v>
      </c>
      <c r="O51" s="259" t="s">
        <v>1177</v>
      </c>
      <c r="P51" s="268"/>
      <c r="Q51" s="268">
        <v>0.2</v>
      </c>
      <c r="R51" s="358" t="s">
        <v>1491</v>
      </c>
      <c r="S51" s="360">
        <v>0</v>
      </c>
      <c r="T51" s="360">
        <v>1</v>
      </c>
      <c r="U51" s="360"/>
      <c r="V51" s="360"/>
    </row>
    <row r="52" spans="1:22" ht="45" x14ac:dyDescent="0.25">
      <c r="A52" s="88" t="s">
        <v>754</v>
      </c>
      <c r="B52" s="94" t="s">
        <v>755</v>
      </c>
      <c r="C52" s="89" t="s">
        <v>756</v>
      </c>
      <c r="D52" s="95" t="s">
        <v>78</v>
      </c>
      <c r="E52" s="95" t="s">
        <v>78</v>
      </c>
      <c r="F52" s="289" t="s">
        <v>751</v>
      </c>
      <c r="G52" s="94" t="s">
        <v>78</v>
      </c>
      <c r="H52" s="96" t="s">
        <v>329</v>
      </c>
      <c r="I52" s="95" t="s">
        <v>78</v>
      </c>
      <c r="J52" s="95" t="s">
        <v>1635</v>
      </c>
      <c r="K52" s="91">
        <v>5</v>
      </c>
      <c r="L52" s="89" t="s">
        <v>105</v>
      </c>
      <c r="M52" s="97"/>
      <c r="N52" s="97" t="s">
        <v>1130</v>
      </c>
      <c r="O52" s="93" t="s">
        <v>1176</v>
      </c>
      <c r="P52" s="267"/>
      <c r="Q52" s="267">
        <v>0.33329999999999999</v>
      </c>
      <c r="R52" s="97" t="s">
        <v>1090</v>
      </c>
      <c r="S52" s="363"/>
      <c r="T52" s="363"/>
      <c r="U52" s="363"/>
      <c r="V52" s="363"/>
    </row>
    <row r="53" spans="1:22" ht="30" x14ac:dyDescent="0.25">
      <c r="A53" s="88" t="s">
        <v>757</v>
      </c>
      <c r="B53" s="94" t="s">
        <v>1091</v>
      </c>
      <c r="C53" s="89" t="s">
        <v>1386</v>
      </c>
      <c r="D53" s="95" t="s">
        <v>78</v>
      </c>
      <c r="E53" s="95" t="s">
        <v>78</v>
      </c>
      <c r="F53" s="289" t="s">
        <v>751</v>
      </c>
      <c r="G53" s="94" t="s">
        <v>78</v>
      </c>
      <c r="H53" s="96" t="s">
        <v>329</v>
      </c>
      <c r="I53" s="95" t="s">
        <v>78</v>
      </c>
      <c r="J53" s="95" t="s">
        <v>936</v>
      </c>
      <c r="K53" s="91">
        <v>5</v>
      </c>
      <c r="L53" s="89" t="s">
        <v>105</v>
      </c>
      <c r="M53" s="97"/>
      <c r="N53" s="97" t="s">
        <v>1130</v>
      </c>
      <c r="O53" s="93" t="s">
        <v>1176</v>
      </c>
      <c r="P53" s="267"/>
      <c r="Q53" s="267">
        <v>0.33329999999999999</v>
      </c>
      <c r="R53" s="97"/>
      <c r="S53" s="363"/>
      <c r="T53" s="363"/>
      <c r="U53" s="363"/>
      <c r="V53" s="363"/>
    </row>
    <row r="54" spans="1:22" ht="45" x14ac:dyDescent="0.25">
      <c r="A54" s="88" t="s">
        <v>758</v>
      </c>
      <c r="B54" s="94" t="s">
        <v>759</v>
      </c>
      <c r="C54" s="89" t="s">
        <v>760</v>
      </c>
      <c r="D54" s="95" t="s">
        <v>78</v>
      </c>
      <c r="E54" s="95" t="s">
        <v>78</v>
      </c>
      <c r="F54" s="289" t="s">
        <v>751</v>
      </c>
      <c r="G54" s="94" t="s">
        <v>78</v>
      </c>
      <c r="H54" s="96" t="s">
        <v>329</v>
      </c>
      <c r="I54" s="95" t="s">
        <v>78</v>
      </c>
      <c r="J54" s="95" t="s">
        <v>936</v>
      </c>
      <c r="K54" s="91">
        <v>5</v>
      </c>
      <c r="L54" s="89" t="s">
        <v>105</v>
      </c>
      <c r="M54" s="97"/>
      <c r="N54" s="97" t="s">
        <v>1130</v>
      </c>
      <c r="O54" s="93" t="s">
        <v>1176</v>
      </c>
      <c r="P54" s="267"/>
      <c r="Q54" s="267">
        <v>0.33339999999999997</v>
      </c>
      <c r="R54" s="97" t="s">
        <v>1636</v>
      </c>
      <c r="S54" s="363"/>
      <c r="T54" s="363"/>
      <c r="U54" s="363"/>
      <c r="V54" s="363"/>
    </row>
    <row r="55" spans="1:22" ht="375" x14ac:dyDescent="0.25">
      <c r="A55" s="200" t="s">
        <v>1092</v>
      </c>
      <c r="B55" s="201" t="s">
        <v>1098</v>
      </c>
      <c r="C55" s="201" t="s">
        <v>1093</v>
      </c>
      <c r="D55" s="201" t="s">
        <v>1100</v>
      </c>
      <c r="E55" s="202" t="s">
        <v>1520</v>
      </c>
      <c r="F55" s="290" t="s">
        <v>588</v>
      </c>
      <c r="G55" s="201" t="s">
        <v>78</v>
      </c>
      <c r="H55" s="203" t="s">
        <v>79</v>
      </c>
      <c r="I55" s="202" t="s">
        <v>1470</v>
      </c>
      <c r="J55" s="202" t="s">
        <v>1538</v>
      </c>
      <c r="K55" s="202" t="s">
        <v>364</v>
      </c>
      <c r="L55" s="202"/>
      <c r="M55" s="202"/>
      <c r="N55" s="202" t="s">
        <v>1132</v>
      </c>
      <c r="O55" s="259" t="s">
        <v>1177</v>
      </c>
      <c r="P55" s="268"/>
      <c r="Q55" s="268">
        <v>0.2</v>
      </c>
      <c r="R55" s="358" t="s">
        <v>1731</v>
      </c>
      <c r="S55" s="360">
        <v>0</v>
      </c>
      <c r="T55" s="360">
        <v>1</v>
      </c>
      <c r="U55" s="360"/>
      <c r="V55" s="360"/>
    </row>
    <row r="56" spans="1:22" x14ac:dyDescent="0.25">
      <c r="A56" s="88" t="s">
        <v>1109</v>
      </c>
      <c r="B56" s="94" t="s">
        <v>1097</v>
      </c>
      <c r="C56" s="89" t="s">
        <v>1103</v>
      </c>
      <c r="D56" s="95" t="s">
        <v>78</v>
      </c>
      <c r="E56" s="95" t="s">
        <v>78</v>
      </c>
      <c r="F56" s="289" t="s">
        <v>1092</v>
      </c>
      <c r="G56" s="94" t="s">
        <v>78</v>
      </c>
      <c r="H56" s="96" t="s">
        <v>329</v>
      </c>
      <c r="I56" s="95" t="s">
        <v>78</v>
      </c>
      <c r="J56" s="95"/>
      <c r="K56" s="91">
        <v>5</v>
      </c>
      <c r="L56" s="89" t="s">
        <v>105</v>
      </c>
      <c r="M56" s="97"/>
      <c r="N56" s="97" t="s">
        <v>1132</v>
      </c>
      <c r="O56" s="93" t="s">
        <v>1176</v>
      </c>
      <c r="P56" s="267"/>
      <c r="Q56" s="267">
        <v>0.16669999999999999</v>
      </c>
      <c r="R56" s="97"/>
      <c r="S56" s="363"/>
      <c r="T56" s="363"/>
      <c r="U56" s="363"/>
      <c r="V56" s="363"/>
    </row>
    <row r="57" spans="1:22" x14ac:dyDescent="0.25">
      <c r="A57" s="88" t="s">
        <v>1110</v>
      </c>
      <c r="B57" s="94" t="s">
        <v>1096</v>
      </c>
      <c r="C57" s="89" t="s">
        <v>1104</v>
      </c>
      <c r="D57" s="95" t="s">
        <v>78</v>
      </c>
      <c r="E57" s="95" t="s">
        <v>78</v>
      </c>
      <c r="F57" s="289" t="s">
        <v>1092</v>
      </c>
      <c r="G57" s="94" t="s">
        <v>78</v>
      </c>
      <c r="H57" s="96" t="s">
        <v>329</v>
      </c>
      <c r="I57" s="95" t="s">
        <v>78</v>
      </c>
      <c r="J57" s="95"/>
      <c r="K57" s="91">
        <v>5</v>
      </c>
      <c r="L57" s="89" t="s">
        <v>105</v>
      </c>
      <c r="M57" s="97"/>
      <c r="N57" s="97" t="s">
        <v>1132</v>
      </c>
      <c r="O57" s="93" t="s">
        <v>1176</v>
      </c>
      <c r="P57" s="267"/>
      <c r="Q57" s="267">
        <v>0.16669999999999999</v>
      </c>
      <c r="R57" s="97"/>
      <c r="S57" s="363"/>
      <c r="T57" s="363"/>
      <c r="U57" s="363"/>
      <c r="V57" s="363"/>
    </row>
    <row r="58" spans="1:22" ht="30" x14ac:dyDescent="0.25">
      <c r="A58" s="88" t="s">
        <v>1111</v>
      </c>
      <c r="B58" s="94" t="s">
        <v>1094</v>
      </c>
      <c r="C58" s="89" t="s">
        <v>1105</v>
      </c>
      <c r="D58" s="95" t="s">
        <v>78</v>
      </c>
      <c r="E58" s="95" t="s">
        <v>78</v>
      </c>
      <c r="F58" s="289" t="s">
        <v>1092</v>
      </c>
      <c r="G58" s="94" t="s">
        <v>78</v>
      </c>
      <c r="H58" s="96" t="s">
        <v>329</v>
      </c>
      <c r="I58" s="95" t="s">
        <v>78</v>
      </c>
      <c r="J58" s="95"/>
      <c r="K58" s="91">
        <v>5</v>
      </c>
      <c r="L58" s="89" t="s">
        <v>105</v>
      </c>
      <c r="M58" s="97"/>
      <c r="N58" s="97" t="s">
        <v>1132</v>
      </c>
      <c r="O58" s="93" t="s">
        <v>1176</v>
      </c>
      <c r="P58" s="267"/>
      <c r="Q58" s="267">
        <v>0.16669999999999999</v>
      </c>
      <c r="R58" s="97"/>
      <c r="S58" s="363"/>
      <c r="T58" s="363"/>
      <c r="U58" s="363"/>
      <c r="V58" s="363"/>
    </row>
    <row r="59" spans="1:22" ht="30" x14ac:dyDescent="0.25">
      <c r="A59" s="88" t="s">
        <v>1112</v>
      </c>
      <c r="B59" s="94" t="s">
        <v>1095</v>
      </c>
      <c r="C59" s="89" t="s">
        <v>1106</v>
      </c>
      <c r="D59" s="95" t="s">
        <v>78</v>
      </c>
      <c r="E59" s="95" t="s">
        <v>78</v>
      </c>
      <c r="F59" s="289" t="s">
        <v>1092</v>
      </c>
      <c r="G59" s="94" t="s">
        <v>78</v>
      </c>
      <c r="H59" s="96" t="s">
        <v>329</v>
      </c>
      <c r="I59" s="95" t="s">
        <v>78</v>
      </c>
      <c r="J59" s="95"/>
      <c r="K59" s="91">
        <v>5</v>
      </c>
      <c r="L59" s="89" t="s">
        <v>105</v>
      </c>
      <c r="M59" s="97"/>
      <c r="N59" s="97" t="s">
        <v>1132</v>
      </c>
      <c r="O59" s="93" t="s">
        <v>1176</v>
      </c>
      <c r="P59" s="267"/>
      <c r="Q59" s="267">
        <v>0.16669999999999999</v>
      </c>
      <c r="R59" s="97"/>
      <c r="S59" s="363"/>
      <c r="T59" s="363"/>
      <c r="U59" s="363"/>
      <c r="V59" s="363"/>
    </row>
    <row r="60" spans="1:22" ht="30" x14ac:dyDescent="0.25">
      <c r="A60" s="88" t="s">
        <v>1467</v>
      </c>
      <c r="B60" s="94" t="s">
        <v>1468</v>
      </c>
      <c r="C60" s="89" t="s">
        <v>1469</v>
      </c>
      <c r="D60" s="95" t="s">
        <v>78</v>
      </c>
      <c r="E60" s="95" t="s">
        <v>78</v>
      </c>
      <c r="F60" s="289" t="s">
        <v>1092</v>
      </c>
      <c r="G60" s="94" t="s">
        <v>78</v>
      </c>
      <c r="H60" s="96" t="s">
        <v>329</v>
      </c>
      <c r="I60" s="95" t="s">
        <v>78</v>
      </c>
      <c r="J60" s="95"/>
      <c r="K60" s="91">
        <v>5</v>
      </c>
      <c r="L60" s="89" t="s">
        <v>105</v>
      </c>
      <c r="M60" s="97"/>
      <c r="N60" s="97" t="s">
        <v>1132</v>
      </c>
      <c r="O60" s="93" t="s">
        <v>1176</v>
      </c>
      <c r="P60" s="267"/>
      <c r="Q60" s="267">
        <v>0.16650000000000001</v>
      </c>
      <c r="R60" s="97"/>
      <c r="S60" s="363"/>
      <c r="T60" s="363"/>
      <c r="U60" s="363"/>
      <c r="V60" s="363"/>
    </row>
  </sheetData>
  <phoneticPr fontId="3" type="noConversion"/>
  <pageMargins left="0.7" right="0.7" top="0.78740157499999996" bottom="0.78740157499999996" header="0.3" footer="0.3"/>
  <pageSetup paperSize="9" orientation="portrait"/>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1C01-AA8D-4C0B-B917-2E345D944766}">
  <sheetPr>
    <tabColor theme="7" tint="0.79998168889431442"/>
  </sheetPr>
  <dimension ref="A1:V46"/>
  <sheetViews>
    <sheetView zoomScale="85" zoomScaleNormal="85" workbookViewId="0">
      <pane ySplit="1" topLeftCell="A2" activePane="bottomLeft" state="frozen"/>
      <selection pane="bottomLeft" activeCell="F5" sqref="F5"/>
    </sheetView>
  </sheetViews>
  <sheetFormatPr defaultColWidth="10.5703125" defaultRowHeight="15" x14ac:dyDescent="0.25"/>
  <cols>
    <col min="1" max="1" width="10.5703125" style="2"/>
    <col min="2" max="2" width="48" style="2" bestFit="1" customWidth="1"/>
    <col min="3" max="3" width="43.5703125" style="2" bestFit="1" customWidth="1"/>
    <col min="4" max="4" width="43.5703125" style="2" customWidth="1"/>
    <col min="5" max="5" width="31.5703125" style="14" customWidth="1"/>
    <col min="6" max="6" width="26" style="14" customWidth="1"/>
    <col min="7" max="7" width="26" style="2" customWidth="1"/>
    <col min="8" max="8" width="11.42578125" style="1" bestFit="1" customWidth="1"/>
    <col min="9" max="9" width="33" style="2" customWidth="1"/>
    <col min="10" max="10" width="28.5703125" style="2" customWidth="1"/>
    <col min="11" max="11" width="8" style="14" customWidth="1"/>
    <col min="12" max="14" width="10.5703125" style="2"/>
    <col min="15" max="15" width="18.5703125" style="2" hidden="1" customWidth="1"/>
    <col min="16" max="16" width="21.7109375" style="2" hidden="1" customWidth="1"/>
    <col min="17" max="17" width="19.140625" style="2" customWidth="1"/>
    <col min="18" max="18" width="28.5703125" style="2" customWidth="1"/>
    <col min="19" max="19" width="20.28515625" style="2" customWidth="1"/>
    <col min="20" max="20" width="19.140625" style="2" customWidth="1"/>
    <col min="21" max="21" width="19.85546875" style="2" customWidth="1"/>
    <col min="22" max="22" width="28.5703125" style="2" customWidth="1"/>
    <col min="23" max="16384" width="10.5703125" style="2"/>
  </cols>
  <sheetData>
    <row r="1" spans="1:22" s="225" customFormat="1" ht="24" customHeight="1" x14ac:dyDescent="0.25">
      <c r="A1" s="223" t="s">
        <v>65</v>
      </c>
      <c r="B1" s="223" t="s">
        <v>66</v>
      </c>
      <c r="C1" s="223" t="s">
        <v>8</v>
      </c>
      <c r="D1" s="223" t="s">
        <v>67</v>
      </c>
      <c r="E1" s="224" t="s">
        <v>68</v>
      </c>
      <c r="F1" s="224" t="s">
        <v>1352</v>
      </c>
      <c r="G1" s="223" t="s">
        <v>69</v>
      </c>
      <c r="H1" s="223" t="s">
        <v>70</v>
      </c>
      <c r="I1" s="223" t="s">
        <v>71</v>
      </c>
      <c r="J1" s="223" t="s">
        <v>72</v>
      </c>
      <c r="K1" s="224" t="s">
        <v>73</v>
      </c>
      <c r="L1" s="351" t="s">
        <v>74</v>
      </c>
      <c r="M1" s="351" t="s">
        <v>1471</v>
      </c>
      <c r="N1" s="255" t="s">
        <v>1342</v>
      </c>
      <c r="O1" s="342" t="s">
        <v>1219</v>
      </c>
      <c r="P1" s="270" t="s">
        <v>1218</v>
      </c>
      <c r="Q1" s="350" t="s">
        <v>1346</v>
      </c>
      <c r="R1" s="223" t="s">
        <v>75</v>
      </c>
      <c r="S1" s="226" t="s">
        <v>1482</v>
      </c>
      <c r="T1" s="379" t="s">
        <v>1483</v>
      </c>
      <c r="U1" s="227" t="s">
        <v>1484</v>
      </c>
      <c r="V1" s="229" t="s">
        <v>1485</v>
      </c>
    </row>
    <row r="2" spans="1:22" ht="90" x14ac:dyDescent="0.25">
      <c r="A2" s="7" t="s">
        <v>10</v>
      </c>
      <c r="B2" s="7" t="s">
        <v>304</v>
      </c>
      <c r="C2" s="7" t="s">
        <v>1732</v>
      </c>
      <c r="D2" s="7" t="s">
        <v>305</v>
      </c>
      <c r="E2" s="100" t="s">
        <v>1250</v>
      </c>
      <c r="F2" s="100" t="s">
        <v>78</v>
      </c>
      <c r="G2" s="7" t="s">
        <v>78</v>
      </c>
      <c r="H2" s="11" t="s">
        <v>79</v>
      </c>
      <c r="I2" s="7" t="s">
        <v>1733</v>
      </c>
      <c r="J2" s="7"/>
      <c r="K2" s="100">
        <v>1</v>
      </c>
      <c r="L2" s="7"/>
      <c r="M2" s="7"/>
      <c r="N2" s="7" t="s">
        <v>1126</v>
      </c>
      <c r="O2" s="7" t="s">
        <v>1172</v>
      </c>
      <c r="P2" s="7"/>
      <c r="Q2" s="7"/>
      <c r="R2" s="7"/>
      <c r="S2" s="371"/>
      <c r="T2" s="7"/>
      <c r="U2" s="7"/>
      <c r="V2" s="375"/>
    </row>
    <row r="3" spans="1:22" ht="105" x14ac:dyDescent="0.25">
      <c r="A3" s="8" t="s">
        <v>14</v>
      </c>
      <c r="B3" s="8" t="s">
        <v>306</v>
      </c>
      <c r="C3" s="8" t="s">
        <v>1734</v>
      </c>
      <c r="D3" s="8" t="s">
        <v>307</v>
      </c>
      <c r="E3" s="101" t="s">
        <v>1251</v>
      </c>
      <c r="F3" s="101" t="s">
        <v>10</v>
      </c>
      <c r="G3" s="8" t="s">
        <v>78</v>
      </c>
      <c r="H3" s="10" t="s">
        <v>79</v>
      </c>
      <c r="I3" s="8" t="s">
        <v>308</v>
      </c>
      <c r="J3" s="8"/>
      <c r="K3" s="101">
        <v>2</v>
      </c>
      <c r="L3" s="8"/>
      <c r="M3" s="8"/>
      <c r="N3" s="8" t="s">
        <v>1159</v>
      </c>
      <c r="O3" s="8" t="s">
        <v>1172</v>
      </c>
      <c r="P3" s="8"/>
      <c r="Q3" s="8">
        <v>0.33329999999999999</v>
      </c>
      <c r="R3" s="8"/>
      <c r="S3" s="372"/>
      <c r="T3" s="8"/>
      <c r="U3" s="8"/>
      <c r="V3" s="376"/>
    </row>
    <row r="4" spans="1:22" ht="120" x14ac:dyDescent="0.25">
      <c r="A4" s="9" t="s">
        <v>309</v>
      </c>
      <c r="B4" s="9" t="s">
        <v>310</v>
      </c>
      <c r="C4" s="9" t="s">
        <v>311</v>
      </c>
      <c r="D4" s="9" t="s">
        <v>312</v>
      </c>
      <c r="E4" s="102" t="s">
        <v>1252</v>
      </c>
      <c r="F4" s="102" t="s">
        <v>14</v>
      </c>
      <c r="G4" s="9" t="s">
        <v>78</v>
      </c>
      <c r="H4" s="12" t="s">
        <v>79</v>
      </c>
      <c r="I4" s="9" t="s">
        <v>1735</v>
      </c>
      <c r="J4" s="9" t="s">
        <v>1736</v>
      </c>
      <c r="K4" s="102">
        <v>3</v>
      </c>
      <c r="L4" s="9"/>
      <c r="M4" s="9"/>
      <c r="N4" s="9" t="s">
        <v>1130</v>
      </c>
      <c r="O4" s="9" t="s">
        <v>1172</v>
      </c>
      <c r="P4" s="9"/>
      <c r="Q4" s="9">
        <v>0.5</v>
      </c>
      <c r="R4" s="9" t="s">
        <v>1737</v>
      </c>
      <c r="S4" s="373"/>
      <c r="T4" s="9"/>
      <c r="U4" s="9"/>
      <c r="V4" s="377"/>
    </row>
    <row r="5" spans="1:22" ht="90" x14ac:dyDescent="0.25">
      <c r="A5" s="103" t="s">
        <v>313</v>
      </c>
      <c r="B5" s="103" t="s">
        <v>314</v>
      </c>
      <c r="C5" s="103" t="s">
        <v>315</v>
      </c>
      <c r="D5" s="103" t="s">
        <v>316</v>
      </c>
      <c r="E5" s="104" t="s">
        <v>1253</v>
      </c>
      <c r="F5" s="104" t="s">
        <v>309</v>
      </c>
      <c r="G5" s="103" t="s">
        <v>153</v>
      </c>
      <c r="H5" s="105" t="s">
        <v>79</v>
      </c>
      <c r="I5" s="103" t="s">
        <v>317</v>
      </c>
      <c r="J5" s="103"/>
      <c r="K5" s="104">
        <v>4</v>
      </c>
      <c r="L5" s="103"/>
      <c r="M5" s="103"/>
      <c r="N5" s="103" t="s">
        <v>1130</v>
      </c>
      <c r="O5" s="103" t="s">
        <v>1177</v>
      </c>
      <c r="P5" s="103"/>
      <c r="Q5" s="103">
        <v>0.5</v>
      </c>
      <c r="R5" s="103" t="s">
        <v>1491</v>
      </c>
      <c r="S5" s="374">
        <v>0</v>
      </c>
      <c r="T5" s="103">
        <v>1</v>
      </c>
      <c r="U5" s="103"/>
      <c r="V5" s="378"/>
    </row>
    <row r="6" spans="1:22" ht="90" x14ac:dyDescent="0.25">
      <c r="A6" s="103" t="s">
        <v>318</v>
      </c>
      <c r="B6" s="103" t="s">
        <v>319</v>
      </c>
      <c r="C6" s="103" t="s">
        <v>1738</v>
      </c>
      <c r="D6" s="103" t="s">
        <v>320</v>
      </c>
      <c r="E6" s="104" t="s">
        <v>1254</v>
      </c>
      <c r="F6" s="104" t="s">
        <v>309</v>
      </c>
      <c r="G6" s="103" t="s">
        <v>153</v>
      </c>
      <c r="H6" s="105" t="s">
        <v>79</v>
      </c>
      <c r="I6" s="103" t="s">
        <v>321</v>
      </c>
      <c r="J6" s="103"/>
      <c r="K6" s="104">
        <v>4</v>
      </c>
      <c r="L6" s="103"/>
      <c r="M6" s="103"/>
      <c r="N6" s="103" t="s">
        <v>1130</v>
      </c>
      <c r="O6" s="103" t="s">
        <v>1177</v>
      </c>
      <c r="P6" s="103"/>
      <c r="Q6" s="103">
        <v>0.5</v>
      </c>
      <c r="R6" s="103" t="s">
        <v>1491</v>
      </c>
      <c r="S6" s="374">
        <v>0</v>
      </c>
      <c r="T6" s="103">
        <v>1</v>
      </c>
      <c r="U6" s="103"/>
      <c r="V6" s="378"/>
    </row>
    <row r="7" spans="1:22" ht="409.5" x14ac:dyDescent="0.25">
      <c r="A7" s="9" t="s">
        <v>322</v>
      </c>
      <c r="B7" s="9" t="s">
        <v>1521</v>
      </c>
      <c r="C7" s="9" t="s">
        <v>1522</v>
      </c>
      <c r="D7" s="9" t="s">
        <v>1523</v>
      </c>
      <c r="E7" s="102" t="s">
        <v>1255</v>
      </c>
      <c r="F7" s="102" t="s">
        <v>14</v>
      </c>
      <c r="G7" s="9" t="s">
        <v>83</v>
      </c>
      <c r="H7" s="12" t="s">
        <v>79</v>
      </c>
      <c r="I7" s="9" t="s">
        <v>1524</v>
      </c>
      <c r="J7" s="9"/>
      <c r="K7" s="102" t="s">
        <v>150</v>
      </c>
      <c r="L7" s="9"/>
      <c r="M7" s="9"/>
      <c r="N7" s="9" t="s">
        <v>1159</v>
      </c>
      <c r="O7" s="9" t="s">
        <v>1177</v>
      </c>
      <c r="P7" s="9"/>
      <c r="Q7" s="9">
        <v>0.5</v>
      </c>
      <c r="R7" s="9" t="s">
        <v>1525</v>
      </c>
      <c r="S7" s="373">
        <v>0</v>
      </c>
      <c r="T7" s="9">
        <v>1</v>
      </c>
      <c r="U7" s="9"/>
      <c r="V7" s="377"/>
    </row>
    <row r="8" spans="1:22" ht="255" x14ac:dyDescent="0.25">
      <c r="A8" s="103" t="s">
        <v>323</v>
      </c>
      <c r="B8" s="103" t="s">
        <v>324</v>
      </c>
      <c r="C8" s="103" t="s">
        <v>325</v>
      </c>
      <c r="D8" s="103" t="s">
        <v>326</v>
      </c>
      <c r="E8" s="104" t="s">
        <v>1494</v>
      </c>
      <c r="F8" s="104" t="s">
        <v>1494</v>
      </c>
      <c r="G8" s="103" t="s">
        <v>153</v>
      </c>
      <c r="H8" s="105" t="s">
        <v>79</v>
      </c>
      <c r="I8" s="103" t="s">
        <v>327</v>
      </c>
      <c r="J8" s="103"/>
      <c r="K8" s="104" t="s">
        <v>158</v>
      </c>
      <c r="L8" s="103"/>
      <c r="M8" s="103"/>
      <c r="N8" s="103" t="s">
        <v>1159</v>
      </c>
      <c r="O8" s="103" t="s">
        <v>1177</v>
      </c>
      <c r="P8" s="103"/>
      <c r="Q8" s="103">
        <v>0.5</v>
      </c>
      <c r="R8" s="103" t="s">
        <v>1526</v>
      </c>
      <c r="S8" s="374"/>
      <c r="T8" s="103"/>
      <c r="U8" s="103"/>
      <c r="V8" s="378"/>
    </row>
    <row r="9" spans="1:22" ht="45" x14ac:dyDescent="0.25">
      <c r="A9" s="89" t="s">
        <v>328</v>
      </c>
      <c r="B9" s="89" t="s">
        <v>1121</v>
      </c>
      <c r="C9" s="89" t="s">
        <v>1156</v>
      </c>
      <c r="D9" s="91" t="s">
        <v>78</v>
      </c>
      <c r="E9" s="91" t="s">
        <v>78</v>
      </c>
      <c r="F9" s="91" t="s">
        <v>1252</v>
      </c>
      <c r="G9" s="89" t="s">
        <v>78</v>
      </c>
      <c r="H9" s="92" t="s">
        <v>329</v>
      </c>
      <c r="I9" s="89" t="s">
        <v>78</v>
      </c>
      <c r="J9" s="89" t="s">
        <v>330</v>
      </c>
      <c r="K9" s="91">
        <v>5</v>
      </c>
      <c r="L9" s="89" t="s">
        <v>105</v>
      </c>
      <c r="M9" s="89"/>
      <c r="N9" s="89" t="s">
        <v>1130</v>
      </c>
      <c r="O9" s="89" t="s">
        <v>1176</v>
      </c>
      <c r="P9" s="89"/>
      <c r="Q9" s="89"/>
      <c r="R9" s="89"/>
      <c r="S9" s="98"/>
      <c r="T9" s="89"/>
      <c r="U9" s="89"/>
      <c r="V9" s="93"/>
    </row>
    <row r="10" spans="1:22" ht="45" x14ac:dyDescent="0.25">
      <c r="A10" s="89" t="s">
        <v>331</v>
      </c>
      <c r="B10" s="89" t="s">
        <v>1119</v>
      </c>
      <c r="C10" s="89" t="s">
        <v>1157</v>
      </c>
      <c r="D10" s="91" t="s">
        <v>78</v>
      </c>
      <c r="E10" s="91" t="s">
        <v>78</v>
      </c>
      <c r="F10" s="91" t="s">
        <v>313</v>
      </c>
      <c r="G10" s="89" t="s">
        <v>78</v>
      </c>
      <c r="H10" s="92" t="s">
        <v>329</v>
      </c>
      <c r="I10" s="89" t="s">
        <v>78</v>
      </c>
      <c r="J10" s="89" t="s">
        <v>332</v>
      </c>
      <c r="K10" s="91">
        <v>5</v>
      </c>
      <c r="L10" s="89" t="s">
        <v>105</v>
      </c>
      <c r="M10" s="89"/>
      <c r="N10" s="89" t="s">
        <v>1130</v>
      </c>
      <c r="O10" s="89" t="s">
        <v>1176</v>
      </c>
      <c r="P10" s="89"/>
      <c r="Q10" s="89"/>
      <c r="R10" s="89"/>
      <c r="S10" s="98"/>
      <c r="T10" s="89"/>
      <c r="U10" s="89"/>
      <c r="V10" s="93"/>
    </row>
    <row r="11" spans="1:22" ht="45" x14ac:dyDescent="0.25">
      <c r="A11" s="89" t="s">
        <v>333</v>
      </c>
      <c r="B11" s="89" t="s">
        <v>1120</v>
      </c>
      <c r="C11" s="89" t="s">
        <v>1158</v>
      </c>
      <c r="D11" s="91" t="s">
        <v>78</v>
      </c>
      <c r="E11" s="91" t="s">
        <v>78</v>
      </c>
      <c r="F11" s="91" t="s">
        <v>318</v>
      </c>
      <c r="G11" s="89" t="s">
        <v>78</v>
      </c>
      <c r="H11" s="92" t="s">
        <v>329</v>
      </c>
      <c r="I11" s="89" t="s">
        <v>78</v>
      </c>
      <c r="J11" s="89" t="s">
        <v>332</v>
      </c>
      <c r="K11" s="91">
        <v>5</v>
      </c>
      <c r="L11" s="89" t="s">
        <v>105</v>
      </c>
      <c r="M11" s="89"/>
      <c r="N11" s="89" t="s">
        <v>1130</v>
      </c>
      <c r="O11" s="89" t="s">
        <v>1176</v>
      </c>
      <c r="P11" s="89"/>
      <c r="Q11" s="89"/>
      <c r="R11" s="89"/>
      <c r="S11" s="98"/>
      <c r="T11" s="89"/>
      <c r="U11" s="89"/>
      <c r="V11" s="93"/>
    </row>
    <row r="12" spans="1:22" ht="30" x14ac:dyDescent="0.25">
      <c r="A12" s="89" t="s">
        <v>334</v>
      </c>
      <c r="B12" s="89" t="s">
        <v>335</v>
      </c>
      <c r="C12" s="89" t="s">
        <v>336</v>
      </c>
      <c r="D12" s="91" t="s">
        <v>78</v>
      </c>
      <c r="E12" s="91" t="s">
        <v>78</v>
      </c>
      <c r="F12" s="91" t="s">
        <v>322</v>
      </c>
      <c r="G12" s="89" t="s">
        <v>78</v>
      </c>
      <c r="H12" s="92" t="s">
        <v>329</v>
      </c>
      <c r="I12" s="89" t="s">
        <v>78</v>
      </c>
      <c r="J12" s="89"/>
      <c r="K12" s="91" t="s">
        <v>337</v>
      </c>
      <c r="L12" s="89" t="s">
        <v>105</v>
      </c>
      <c r="M12" s="89"/>
      <c r="N12" s="89" t="s">
        <v>1155</v>
      </c>
      <c r="O12" s="89" t="s">
        <v>1176</v>
      </c>
      <c r="P12" s="89"/>
      <c r="Q12" s="89">
        <v>0.5</v>
      </c>
      <c r="R12" s="89"/>
      <c r="S12" s="98"/>
      <c r="T12" s="89"/>
      <c r="U12" s="89"/>
      <c r="V12" s="93"/>
    </row>
    <row r="13" spans="1:22" ht="120" x14ac:dyDescent="0.25">
      <c r="A13" s="89" t="s">
        <v>338</v>
      </c>
      <c r="B13" s="89" t="s">
        <v>339</v>
      </c>
      <c r="C13" s="89" t="s">
        <v>340</v>
      </c>
      <c r="D13" s="91" t="s">
        <v>78</v>
      </c>
      <c r="E13" s="91" t="s">
        <v>78</v>
      </c>
      <c r="F13" s="91" t="s">
        <v>1494</v>
      </c>
      <c r="G13" s="89" t="s">
        <v>78</v>
      </c>
      <c r="H13" s="92" t="s">
        <v>329</v>
      </c>
      <c r="I13" s="89" t="s">
        <v>78</v>
      </c>
      <c r="J13" s="89"/>
      <c r="K13" s="91" t="s">
        <v>337</v>
      </c>
      <c r="L13" s="89" t="s">
        <v>105</v>
      </c>
      <c r="M13" s="89"/>
      <c r="N13" s="89" t="s">
        <v>1132</v>
      </c>
      <c r="O13" s="89" t="s">
        <v>1176</v>
      </c>
      <c r="P13" s="89"/>
      <c r="Q13" s="89">
        <v>0.5</v>
      </c>
      <c r="R13" s="89" t="s">
        <v>1527</v>
      </c>
      <c r="S13" s="98"/>
      <c r="T13" s="89"/>
      <c r="U13" s="89"/>
      <c r="V13" s="93"/>
    </row>
    <row r="14" spans="1:22" ht="45" x14ac:dyDescent="0.25">
      <c r="A14" s="89" t="s">
        <v>341</v>
      </c>
      <c r="B14" s="89" t="s">
        <v>1122</v>
      </c>
      <c r="C14" s="89" t="s">
        <v>342</v>
      </c>
      <c r="D14" s="91" t="s">
        <v>78</v>
      </c>
      <c r="E14" s="91" t="s">
        <v>78</v>
      </c>
      <c r="F14" s="91" t="s">
        <v>322</v>
      </c>
      <c r="G14" s="89" t="s">
        <v>78</v>
      </c>
      <c r="H14" s="92" t="s">
        <v>329</v>
      </c>
      <c r="I14" s="89" t="s">
        <v>78</v>
      </c>
      <c r="J14" s="89"/>
      <c r="K14" s="91" t="s">
        <v>337</v>
      </c>
      <c r="L14" s="89" t="s">
        <v>105</v>
      </c>
      <c r="M14" s="89"/>
      <c r="N14" s="89" t="s">
        <v>1132</v>
      </c>
      <c r="O14" s="89" t="s">
        <v>1176</v>
      </c>
      <c r="P14" s="89"/>
      <c r="Q14" s="89">
        <v>0.5</v>
      </c>
      <c r="R14" s="89"/>
      <c r="S14" s="98"/>
      <c r="T14" s="89"/>
      <c r="U14" s="89"/>
      <c r="V14" s="93"/>
    </row>
    <row r="15" spans="1:22" ht="105" x14ac:dyDescent="0.25">
      <c r="A15" s="8" t="s">
        <v>20</v>
      </c>
      <c r="B15" s="8" t="s">
        <v>343</v>
      </c>
      <c r="C15" s="8" t="s">
        <v>1739</v>
      </c>
      <c r="D15" s="8" t="s">
        <v>344</v>
      </c>
      <c r="E15" s="101" t="s">
        <v>1528</v>
      </c>
      <c r="F15" s="101" t="s">
        <v>10</v>
      </c>
      <c r="G15" s="8" t="s">
        <v>78</v>
      </c>
      <c r="H15" s="10" t="s">
        <v>79</v>
      </c>
      <c r="I15" s="8" t="s">
        <v>1740</v>
      </c>
      <c r="J15" s="8"/>
      <c r="K15" s="101">
        <v>2</v>
      </c>
      <c r="L15" s="8"/>
      <c r="M15" s="8"/>
      <c r="N15" s="8" t="s">
        <v>1135</v>
      </c>
      <c r="O15" s="8" t="s">
        <v>1172</v>
      </c>
      <c r="P15" s="8"/>
      <c r="Q15" s="8">
        <v>0.33329999999999999</v>
      </c>
      <c r="R15" s="8"/>
      <c r="S15" s="372"/>
      <c r="T15" s="8"/>
      <c r="U15" s="8"/>
      <c r="V15" s="376"/>
    </row>
    <row r="16" spans="1:22" ht="90" x14ac:dyDescent="0.25">
      <c r="A16" s="9" t="s">
        <v>345</v>
      </c>
      <c r="B16" s="9" t="s">
        <v>346</v>
      </c>
      <c r="C16" s="9" t="s">
        <v>347</v>
      </c>
      <c r="D16" s="9" t="s">
        <v>348</v>
      </c>
      <c r="E16" s="102" t="s">
        <v>1273</v>
      </c>
      <c r="F16" s="102" t="s">
        <v>20</v>
      </c>
      <c r="G16" s="9" t="s">
        <v>78</v>
      </c>
      <c r="H16" s="12" t="s">
        <v>79</v>
      </c>
      <c r="I16" s="9" t="s">
        <v>349</v>
      </c>
      <c r="J16" s="9" t="s">
        <v>1741</v>
      </c>
      <c r="K16" s="102">
        <v>3</v>
      </c>
      <c r="L16" s="9"/>
      <c r="M16" s="9"/>
      <c r="N16" s="9" t="s">
        <v>1130</v>
      </c>
      <c r="O16" s="9" t="s">
        <v>1172</v>
      </c>
      <c r="P16" s="9"/>
      <c r="Q16" s="9">
        <v>0.5</v>
      </c>
      <c r="R16" s="9" t="s">
        <v>1399</v>
      </c>
      <c r="S16" s="373"/>
      <c r="T16" s="9"/>
      <c r="U16" s="9"/>
      <c r="V16" s="377"/>
    </row>
    <row r="17" spans="1:22" ht="90" x14ac:dyDescent="0.25">
      <c r="A17" s="103" t="s">
        <v>350</v>
      </c>
      <c r="B17" s="103" t="s">
        <v>356</v>
      </c>
      <c r="C17" s="103" t="s">
        <v>357</v>
      </c>
      <c r="D17" s="103" t="s">
        <v>358</v>
      </c>
      <c r="E17" s="104" t="s">
        <v>1257</v>
      </c>
      <c r="F17" s="104" t="s">
        <v>345</v>
      </c>
      <c r="G17" s="103" t="s">
        <v>153</v>
      </c>
      <c r="H17" s="105" t="s">
        <v>79</v>
      </c>
      <c r="I17" s="103" t="s">
        <v>359</v>
      </c>
      <c r="J17" s="103" t="s">
        <v>360</v>
      </c>
      <c r="K17" s="104">
        <v>4</v>
      </c>
      <c r="L17" s="103"/>
      <c r="M17" s="103"/>
      <c r="N17" s="103" t="s">
        <v>1130</v>
      </c>
      <c r="O17" s="103" t="s">
        <v>1177</v>
      </c>
      <c r="P17" s="103"/>
      <c r="Q17" s="103">
        <v>0.33329999999999999</v>
      </c>
      <c r="R17" s="103" t="s">
        <v>1491</v>
      </c>
      <c r="S17" s="374">
        <v>0</v>
      </c>
      <c r="T17" s="103">
        <v>1</v>
      </c>
      <c r="U17" s="103"/>
      <c r="V17" s="378"/>
    </row>
    <row r="18" spans="1:22" ht="90" x14ac:dyDescent="0.25">
      <c r="A18" s="103" t="s">
        <v>355</v>
      </c>
      <c r="B18" s="103" t="s">
        <v>351</v>
      </c>
      <c r="C18" s="103" t="s">
        <v>1221</v>
      </c>
      <c r="D18" s="103" t="s">
        <v>352</v>
      </c>
      <c r="E18" s="104" t="s">
        <v>1256</v>
      </c>
      <c r="F18" s="104" t="s">
        <v>345</v>
      </c>
      <c r="G18" s="103" t="s">
        <v>153</v>
      </c>
      <c r="H18" s="105" t="s">
        <v>79</v>
      </c>
      <c r="I18" s="103" t="s">
        <v>353</v>
      </c>
      <c r="J18" s="103" t="s">
        <v>1742</v>
      </c>
      <c r="K18" s="104">
        <v>4</v>
      </c>
      <c r="L18" s="103"/>
      <c r="M18" s="103"/>
      <c r="N18" s="103" t="s">
        <v>1130</v>
      </c>
      <c r="O18" s="103" t="s">
        <v>1177</v>
      </c>
      <c r="P18" s="103"/>
      <c r="Q18" s="103">
        <v>0.33329999999999999</v>
      </c>
      <c r="R18" s="103" t="s">
        <v>1491</v>
      </c>
      <c r="S18" s="374">
        <v>0</v>
      </c>
      <c r="T18" s="103">
        <v>1</v>
      </c>
      <c r="U18" s="103"/>
      <c r="V18" s="378"/>
    </row>
    <row r="19" spans="1:22" ht="90" x14ac:dyDescent="0.25">
      <c r="A19" s="103" t="s">
        <v>1264</v>
      </c>
      <c r="B19" s="103" t="s">
        <v>1265</v>
      </c>
      <c r="C19" s="103" t="s">
        <v>1743</v>
      </c>
      <c r="D19" s="103"/>
      <c r="E19" s="104" t="s">
        <v>1271</v>
      </c>
      <c r="F19" s="104" t="s">
        <v>345</v>
      </c>
      <c r="G19" s="103" t="s">
        <v>153</v>
      </c>
      <c r="H19" s="105" t="s">
        <v>79</v>
      </c>
      <c r="I19" s="103" t="s">
        <v>1272</v>
      </c>
      <c r="J19" s="103"/>
      <c r="K19" s="104" t="s">
        <v>158</v>
      </c>
      <c r="L19" s="103"/>
      <c r="M19" s="103"/>
      <c r="N19" s="103" t="s">
        <v>1130</v>
      </c>
      <c r="O19" s="103" t="s">
        <v>1177</v>
      </c>
      <c r="P19" s="103"/>
      <c r="Q19" s="103">
        <v>0.33339999999999997</v>
      </c>
      <c r="R19" s="103" t="s">
        <v>1491</v>
      </c>
      <c r="S19" s="374">
        <v>0</v>
      </c>
      <c r="T19" s="103">
        <v>1</v>
      </c>
      <c r="U19" s="103"/>
      <c r="V19" s="378"/>
    </row>
    <row r="20" spans="1:22" ht="60" x14ac:dyDescent="0.25">
      <c r="A20" s="9" t="s">
        <v>361</v>
      </c>
      <c r="B20" s="9" t="s">
        <v>1225</v>
      </c>
      <c r="C20" s="9" t="s">
        <v>363</v>
      </c>
      <c r="D20" s="9" t="s">
        <v>1390</v>
      </c>
      <c r="E20" s="102" t="s">
        <v>1461</v>
      </c>
      <c r="F20" s="102" t="s">
        <v>20</v>
      </c>
      <c r="G20" s="9" t="s">
        <v>83</v>
      </c>
      <c r="H20" s="12" t="s">
        <v>79</v>
      </c>
      <c r="I20" s="9" t="s">
        <v>1248</v>
      </c>
      <c r="J20" s="9" t="s">
        <v>1249</v>
      </c>
      <c r="K20" s="102" t="s">
        <v>150</v>
      </c>
      <c r="L20" s="9"/>
      <c r="M20" s="9"/>
      <c r="N20" s="9" t="s">
        <v>1135</v>
      </c>
      <c r="O20" s="9" t="s">
        <v>1172</v>
      </c>
      <c r="P20" s="9"/>
      <c r="Q20" s="9">
        <v>0.5</v>
      </c>
      <c r="R20" s="9"/>
      <c r="S20" s="373"/>
      <c r="T20" s="9"/>
      <c r="U20" s="9"/>
      <c r="V20" s="377"/>
    </row>
    <row r="21" spans="1:22" ht="105" x14ac:dyDescent="0.25">
      <c r="A21" s="103" t="s">
        <v>1228</v>
      </c>
      <c r="B21" s="103" t="s">
        <v>1241</v>
      </c>
      <c r="C21" s="103" t="s">
        <v>1744</v>
      </c>
      <c r="D21" s="103"/>
      <c r="E21" s="104" t="s">
        <v>1269</v>
      </c>
      <c r="F21" s="104" t="s">
        <v>361</v>
      </c>
      <c r="G21" s="103" t="s">
        <v>153</v>
      </c>
      <c r="H21" s="105" t="s">
        <v>79</v>
      </c>
      <c r="I21" s="103" t="s">
        <v>1240</v>
      </c>
      <c r="J21" s="103" t="s">
        <v>1224</v>
      </c>
      <c r="K21" s="104" t="s">
        <v>158</v>
      </c>
      <c r="L21" s="103"/>
      <c r="M21" s="103"/>
      <c r="N21" s="103" t="s">
        <v>1131</v>
      </c>
      <c r="O21" s="103" t="s">
        <v>1177</v>
      </c>
      <c r="P21" s="103"/>
      <c r="Q21" s="103">
        <v>0.25</v>
      </c>
      <c r="R21" s="103" t="s">
        <v>1529</v>
      </c>
      <c r="S21" s="374"/>
      <c r="T21" s="103"/>
      <c r="U21" s="103"/>
      <c r="V21" s="378"/>
    </row>
    <row r="22" spans="1:22" ht="60" x14ac:dyDescent="0.25">
      <c r="A22" s="103" t="s">
        <v>1229</v>
      </c>
      <c r="B22" s="103" t="s">
        <v>362</v>
      </c>
      <c r="C22" s="103" t="s">
        <v>1398</v>
      </c>
      <c r="D22" s="103"/>
      <c r="E22" s="104" t="s">
        <v>1394</v>
      </c>
      <c r="F22" s="104" t="s">
        <v>361</v>
      </c>
      <c r="G22" s="103" t="s">
        <v>153</v>
      </c>
      <c r="H22" s="105" t="s">
        <v>79</v>
      </c>
      <c r="I22" s="103" t="s">
        <v>1395</v>
      </c>
      <c r="J22" s="103" t="s">
        <v>1226</v>
      </c>
      <c r="K22" s="104" t="s">
        <v>158</v>
      </c>
      <c r="L22" s="103"/>
      <c r="M22" s="103"/>
      <c r="N22" s="103" t="s">
        <v>1126</v>
      </c>
      <c r="O22" s="103" t="s">
        <v>1177</v>
      </c>
      <c r="P22" s="103"/>
      <c r="Q22" s="103">
        <v>0.25</v>
      </c>
      <c r="R22" s="103" t="s">
        <v>1387</v>
      </c>
      <c r="S22" s="374"/>
      <c r="T22" s="103"/>
      <c r="U22" s="103"/>
      <c r="V22" s="378"/>
    </row>
    <row r="23" spans="1:22" ht="75" x14ac:dyDescent="0.25">
      <c r="A23" s="103" t="s">
        <v>1230</v>
      </c>
      <c r="B23" s="103" t="s">
        <v>1223</v>
      </c>
      <c r="C23" s="103" t="s">
        <v>1242</v>
      </c>
      <c r="D23" s="103"/>
      <c r="E23" s="104" t="s">
        <v>1245</v>
      </c>
      <c r="F23" s="104" t="s">
        <v>361</v>
      </c>
      <c r="G23" s="103" t="s">
        <v>153</v>
      </c>
      <c r="H23" s="105" t="s">
        <v>79</v>
      </c>
      <c r="I23" s="103" t="s">
        <v>1389</v>
      </c>
      <c r="J23" s="103" t="s">
        <v>1222</v>
      </c>
      <c r="K23" s="104" t="s">
        <v>158</v>
      </c>
      <c r="L23" s="103"/>
      <c r="M23" s="103"/>
      <c r="N23" s="103" t="s">
        <v>1246</v>
      </c>
      <c r="O23" s="103" t="s">
        <v>1177</v>
      </c>
      <c r="P23" s="103"/>
      <c r="Q23" s="103">
        <v>0.25</v>
      </c>
      <c r="R23" s="103"/>
      <c r="S23" s="374"/>
      <c r="T23" s="103"/>
      <c r="U23" s="103"/>
      <c r="V23" s="378"/>
    </row>
    <row r="24" spans="1:22" ht="60" x14ac:dyDescent="0.25">
      <c r="A24" s="347" t="s">
        <v>1388</v>
      </c>
      <c r="B24" s="347" t="s">
        <v>365</v>
      </c>
      <c r="C24" s="347" t="s">
        <v>1227</v>
      </c>
      <c r="D24" s="347" t="s">
        <v>366</v>
      </c>
      <c r="E24" s="348" t="s">
        <v>1270</v>
      </c>
      <c r="F24" s="348" t="s">
        <v>361</v>
      </c>
      <c r="G24" s="347" t="s">
        <v>1384</v>
      </c>
      <c r="H24" s="349" t="s">
        <v>79</v>
      </c>
      <c r="I24" s="347" t="s">
        <v>367</v>
      </c>
      <c r="J24" s="347" t="s">
        <v>1745</v>
      </c>
      <c r="K24" s="348">
        <v>3</v>
      </c>
      <c r="L24" s="347"/>
      <c r="M24" s="347"/>
      <c r="N24" s="347" t="s">
        <v>1135</v>
      </c>
      <c r="O24" s="347" t="s">
        <v>1177</v>
      </c>
      <c r="P24" s="347"/>
      <c r="Q24" s="347">
        <v>0.25</v>
      </c>
      <c r="R24" s="103"/>
      <c r="S24" s="374"/>
      <c r="T24" s="347"/>
      <c r="U24" s="103"/>
      <c r="V24" s="378"/>
    </row>
    <row r="25" spans="1:22" ht="75" x14ac:dyDescent="0.25">
      <c r="A25" s="89" t="s">
        <v>368</v>
      </c>
      <c r="B25" s="89" t="s">
        <v>369</v>
      </c>
      <c r="C25" s="89" t="s">
        <v>370</v>
      </c>
      <c r="D25" s="91" t="s">
        <v>78</v>
      </c>
      <c r="E25" s="91" t="s">
        <v>78</v>
      </c>
      <c r="F25" s="91" t="s">
        <v>350</v>
      </c>
      <c r="G25" s="89" t="s">
        <v>78</v>
      </c>
      <c r="H25" s="92" t="s">
        <v>371</v>
      </c>
      <c r="I25" s="89" t="s">
        <v>78</v>
      </c>
      <c r="J25" s="89"/>
      <c r="K25" s="91">
        <v>5</v>
      </c>
      <c r="L25" s="89" t="s">
        <v>105</v>
      </c>
      <c r="M25" s="89"/>
      <c r="N25" s="89" t="s">
        <v>1130</v>
      </c>
      <c r="O25" s="89" t="s">
        <v>1176</v>
      </c>
      <c r="P25" s="89"/>
      <c r="Q25" s="89"/>
      <c r="R25" s="89"/>
      <c r="S25" s="98"/>
      <c r="T25" s="89"/>
      <c r="U25" s="89"/>
      <c r="V25" s="93"/>
    </row>
    <row r="26" spans="1:22" ht="45" x14ac:dyDescent="0.25">
      <c r="A26" s="89" t="s">
        <v>372</v>
      </c>
      <c r="B26" s="89" t="s">
        <v>373</v>
      </c>
      <c r="C26" s="89" t="s">
        <v>374</v>
      </c>
      <c r="D26" s="91" t="s">
        <v>78</v>
      </c>
      <c r="E26" s="91" t="s">
        <v>78</v>
      </c>
      <c r="F26" s="91" t="s">
        <v>1273</v>
      </c>
      <c r="G26" s="89" t="s">
        <v>78</v>
      </c>
      <c r="H26" s="92" t="s">
        <v>371</v>
      </c>
      <c r="I26" s="89" t="s">
        <v>78</v>
      </c>
      <c r="J26" s="89" t="s">
        <v>360</v>
      </c>
      <c r="K26" s="91">
        <v>5</v>
      </c>
      <c r="L26" s="89" t="s">
        <v>105</v>
      </c>
      <c r="M26" s="89"/>
      <c r="N26" s="89" t="s">
        <v>1130</v>
      </c>
      <c r="O26" s="89" t="s">
        <v>1176</v>
      </c>
      <c r="P26" s="89"/>
      <c r="Q26" s="89"/>
      <c r="R26" s="89"/>
      <c r="S26" s="98"/>
      <c r="T26" s="89"/>
      <c r="U26" s="89"/>
      <c r="V26" s="93"/>
    </row>
    <row r="27" spans="1:22" ht="30" x14ac:dyDescent="0.25">
      <c r="A27" s="89" t="s">
        <v>375</v>
      </c>
      <c r="B27" s="89" t="s">
        <v>376</v>
      </c>
      <c r="C27" s="89" t="s">
        <v>377</v>
      </c>
      <c r="D27" s="91" t="s">
        <v>78</v>
      </c>
      <c r="E27" s="91" t="s">
        <v>78</v>
      </c>
      <c r="F27" s="91" t="s">
        <v>355</v>
      </c>
      <c r="G27" s="89" t="s">
        <v>78</v>
      </c>
      <c r="H27" s="92" t="s">
        <v>371</v>
      </c>
      <c r="I27" s="89" t="s">
        <v>78</v>
      </c>
      <c r="J27" s="89"/>
      <c r="K27" s="91">
        <v>5</v>
      </c>
      <c r="L27" s="89" t="s">
        <v>105</v>
      </c>
      <c r="M27" s="89"/>
      <c r="N27" s="89" t="s">
        <v>1130</v>
      </c>
      <c r="O27" s="89" t="s">
        <v>1176</v>
      </c>
      <c r="P27" s="89"/>
      <c r="Q27" s="89"/>
      <c r="R27" s="89"/>
      <c r="S27" s="98"/>
      <c r="T27" s="89"/>
      <c r="U27" s="89"/>
      <c r="V27" s="93"/>
    </row>
    <row r="28" spans="1:22" ht="30" x14ac:dyDescent="0.25">
      <c r="A28" s="89" t="s">
        <v>378</v>
      </c>
      <c r="B28" s="89" t="s">
        <v>1266</v>
      </c>
      <c r="C28" s="89" t="s">
        <v>1267</v>
      </c>
      <c r="D28" s="91"/>
      <c r="E28" s="91" t="s">
        <v>78</v>
      </c>
      <c r="F28" s="91" t="s">
        <v>1264</v>
      </c>
      <c r="G28" s="89"/>
      <c r="H28" s="92" t="s">
        <v>371</v>
      </c>
      <c r="I28" s="89"/>
      <c r="J28" s="89"/>
      <c r="K28" s="91">
        <v>5</v>
      </c>
      <c r="L28" s="89" t="s">
        <v>105</v>
      </c>
      <c r="M28" s="89"/>
      <c r="N28" s="89"/>
      <c r="O28" s="89" t="s">
        <v>1176</v>
      </c>
      <c r="P28" s="89"/>
      <c r="Q28" s="89"/>
      <c r="R28" s="89"/>
      <c r="S28" s="98"/>
      <c r="T28" s="89"/>
      <c r="U28" s="89"/>
      <c r="V28" s="93"/>
    </row>
    <row r="29" spans="1:22" ht="45" x14ac:dyDescent="0.25">
      <c r="A29" s="89" t="s">
        <v>380</v>
      </c>
      <c r="B29" s="89" t="s">
        <v>1234</v>
      </c>
      <c r="C29" s="89" t="s">
        <v>1233</v>
      </c>
      <c r="D29" s="91" t="s">
        <v>78</v>
      </c>
      <c r="E29" s="91" t="s">
        <v>78</v>
      </c>
      <c r="F29" s="91" t="s">
        <v>1228</v>
      </c>
      <c r="G29" s="89"/>
      <c r="H29" s="92" t="s">
        <v>371</v>
      </c>
      <c r="I29" s="89" t="s">
        <v>78</v>
      </c>
      <c r="J29" s="89"/>
      <c r="K29" s="91">
        <v>5</v>
      </c>
      <c r="L29" s="89" t="s">
        <v>105</v>
      </c>
      <c r="M29" s="89" t="s">
        <v>1247</v>
      </c>
      <c r="N29" s="89"/>
      <c r="O29" s="89" t="s">
        <v>1176</v>
      </c>
      <c r="P29" s="89"/>
      <c r="Q29" s="89">
        <v>0.5</v>
      </c>
      <c r="R29" s="89"/>
      <c r="S29" s="98"/>
      <c r="T29" s="89"/>
      <c r="U29" s="89"/>
      <c r="V29" s="93"/>
    </row>
    <row r="30" spans="1:22" ht="45" x14ac:dyDescent="0.25">
      <c r="A30" s="89" t="s">
        <v>384</v>
      </c>
      <c r="B30" s="89" t="s">
        <v>1235</v>
      </c>
      <c r="C30" s="89" t="s">
        <v>1236</v>
      </c>
      <c r="D30" s="91" t="s">
        <v>78</v>
      </c>
      <c r="E30" s="91" t="s">
        <v>78</v>
      </c>
      <c r="F30" s="91" t="s">
        <v>1228</v>
      </c>
      <c r="G30" s="89"/>
      <c r="H30" s="92" t="s">
        <v>371</v>
      </c>
      <c r="I30" s="89" t="s">
        <v>78</v>
      </c>
      <c r="J30" s="89"/>
      <c r="K30" s="91">
        <v>5</v>
      </c>
      <c r="L30" s="89" t="s">
        <v>105</v>
      </c>
      <c r="M30" s="89" t="s">
        <v>1247</v>
      </c>
      <c r="N30" s="89"/>
      <c r="O30" s="89" t="s">
        <v>1176</v>
      </c>
      <c r="P30" s="89"/>
      <c r="Q30" s="89">
        <v>0.5</v>
      </c>
      <c r="R30" s="89"/>
      <c r="S30" s="98"/>
      <c r="T30" s="89"/>
      <c r="U30" s="89"/>
      <c r="V30" s="93"/>
    </row>
    <row r="31" spans="1:22" ht="90" x14ac:dyDescent="0.25">
      <c r="A31" s="89" t="s">
        <v>1237</v>
      </c>
      <c r="B31" s="89" t="s">
        <v>381</v>
      </c>
      <c r="C31" s="89" t="s">
        <v>382</v>
      </c>
      <c r="D31" s="91" t="s">
        <v>78</v>
      </c>
      <c r="E31" s="91" t="s">
        <v>78</v>
      </c>
      <c r="F31" s="91" t="s">
        <v>1530</v>
      </c>
      <c r="G31" s="89" t="s">
        <v>78</v>
      </c>
      <c r="H31" s="92" t="s">
        <v>383</v>
      </c>
      <c r="I31" s="89" t="s">
        <v>78</v>
      </c>
      <c r="J31" s="89"/>
      <c r="K31" s="91" t="s">
        <v>337</v>
      </c>
      <c r="L31" s="89" t="s">
        <v>105</v>
      </c>
      <c r="M31" s="89"/>
      <c r="N31" s="89" t="s">
        <v>1130</v>
      </c>
      <c r="O31" s="89" t="s">
        <v>1176</v>
      </c>
      <c r="P31" s="89"/>
      <c r="Q31" s="89"/>
      <c r="R31" s="89" t="s">
        <v>1637</v>
      </c>
      <c r="S31" s="98"/>
      <c r="T31" s="89"/>
      <c r="U31" s="89"/>
      <c r="V31" s="93"/>
    </row>
    <row r="32" spans="1:22" ht="45" x14ac:dyDescent="0.25">
      <c r="A32" s="89" t="s">
        <v>1238</v>
      </c>
      <c r="B32" s="89" t="s">
        <v>1243</v>
      </c>
      <c r="C32" s="89" t="s">
        <v>1244</v>
      </c>
      <c r="D32" s="91" t="s">
        <v>78</v>
      </c>
      <c r="E32" s="91" t="s">
        <v>78</v>
      </c>
      <c r="F32" s="91" t="s">
        <v>1230</v>
      </c>
      <c r="G32" s="89" t="s">
        <v>78</v>
      </c>
      <c r="H32" s="92" t="s">
        <v>371</v>
      </c>
      <c r="I32" s="89" t="s">
        <v>78</v>
      </c>
      <c r="J32" s="89"/>
      <c r="K32" s="91" t="s">
        <v>337</v>
      </c>
      <c r="L32" s="89" t="s">
        <v>105</v>
      </c>
      <c r="M32" s="89"/>
      <c r="N32" s="89" t="s">
        <v>1130</v>
      </c>
      <c r="O32" s="89" t="s">
        <v>1176</v>
      </c>
      <c r="P32" s="89"/>
      <c r="Q32" s="89"/>
      <c r="R32" s="89"/>
      <c r="S32" s="98"/>
      <c r="T32" s="89"/>
      <c r="U32" s="89"/>
      <c r="V32" s="93"/>
    </row>
    <row r="33" spans="1:22" ht="45" x14ac:dyDescent="0.25">
      <c r="A33" s="89" t="s">
        <v>1239</v>
      </c>
      <c r="B33" s="89" t="s">
        <v>1231</v>
      </c>
      <c r="C33" s="89" t="s">
        <v>379</v>
      </c>
      <c r="D33" s="91" t="s">
        <v>78</v>
      </c>
      <c r="E33" s="91" t="s">
        <v>78</v>
      </c>
      <c r="F33" s="91" t="s">
        <v>1396</v>
      </c>
      <c r="G33" s="89" t="s">
        <v>78</v>
      </c>
      <c r="H33" s="92" t="s">
        <v>371</v>
      </c>
      <c r="I33" s="89" t="s">
        <v>78</v>
      </c>
      <c r="J33" s="89" t="s">
        <v>1397</v>
      </c>
      <c r="K33" s="91" t="s">
        <v>337</v>
      </c>
      <c r="L33" s="89" t="s">
        <v>105</v>
      </c>
      <c r="M33" s="89"/>
      <c r="N33" s="89" t="s">
        <v>1129</v>
      </c>
      <c r="O33" s="89" t="s">
        <v>1176</v>
      </c>
      <c r="P33" s="89"/>
      <c r="Q33" s="89"/>
      <c r="R33" s="89"/>
      <c r="S33" s="98"/>
      <c r="T33" s="89"/>
      <c r="U33" s="89"/>
      <c r="V33" s="93"/>
    </row>
    <row r="34" spans="1:22" ht="75" x14ac:dyDescent="0.25">
      <c r="A34" s="89" t="s">
        <v>1268</v>
      </c>
      <c r="B34" s="89" t="s">
        <v>1232</v>
      </c>
      <c r="C34" s="89" t="s">
        <v>1638</v>
      </c>
      <c r="D34" s="91" t="s">
        <v>78</v>
      </c>
      <c r="E34" s="91" t="s">
        <v>78</v>
      </c>
      <c r="F34" s="91" t="s">
        <v>1388</v>
      </c>
      <c r="G34" s="89" t="s">
        <v>78</v>
      </c>
      <c r="H34" s="92" t="s">
        <v>371</v>
      </c>
      <c r="I34" s="89" t="s">
        <v>78</v>
      </c>
      <c r="J34" s="89" t="s">
        <v>1397</v>
      </c>
      <c r="K34" s="91" t="s">
        <v>337</v>
      </c>
      <c r="L34" s="89" t="s">
        <v>105</v>
      </c>
      <c r="M34" s="89"/>
      <c r="N34" s="89" t="s">
        <v>1129</v>
      </c>
      <c r="O34" s="89" t="s">
        <v>1176</v>
      </c>
      <c r="P34" s="89"/>
      <c r="Q34" s="89"/>
      <c r="R34" s="89"/>
      <c r="S34" s="98"/>
      <c r="T34" s="89"/>
      <c r="U34" s="89"/>
      <c r="V34" s="93"/>
    </row>
    <row r="35" spans="1:22" ht="30" x14ac:dyDescent="0.25">
      <c r="A35" s="89" t="s">
        <v>1391</v>
      </c>
      <c r="B35" s="89" t="s">
        <v>1392</v>
      </c>
      <c r="C35" s="89" t="s">
        <v>1393</v>
      </c>
      <c r="D35" s="91" t="s">
        <v>78</v>
      </c>
      <c r="E35" s="91" t="s">
        <v>78</v>
      </c>
      <c r="F35" s="91" t="s">
        <v>1229</v>
      </c>
      <c r="G35" s="89" t="s">
        <v>78</v>
      </c>
      <c r="H35" s="92" t="s">
        <v>371</v>
      </c>
      <c r="I35" s="89" t="s">
        <v>78</v>
      </c>
      <c r="J35" s="89"/>
      <c r="K35" s="91" t="s">
        <v>337</v>
      </c>
      <c r="L35" s="89" t="s">
        <v>105</v>
      </c>
      <c r="M35" s="89"/>
      <c r="N35" s="89" t="s">
        <v>1130</v>
      </c>
      <c r="O35" s="89" t="s">
        <v>1176</v>
      </c>
      <c r="P35" s="89"/>
      <c r="Q35" s="89"/>
      <c r="R35" s="89"/>
      <c r="S35" s="98"/>
      <c r="T35" s="89"/>
      <c r="U35" s="89"/>
      <c r="V35" s="93"/>
    </row>
    <row r="36" spans="1:22" ht="135" x14ac:dyDescent="0.25">
      <c r="A36" s="8" t="s">
        <v>25</v>
      </c>
      <c r="B36" s="8" t="s">
        <v>385</v>
      </c>
      <c r="C36" s="8" t="s">
        <v>1746</v>
      </c>
      <c r="D36" s="8" t="s">
        <v>386</v>
      </c>
      <c r="E36" s="101" t="s">
        <v>1258</v>
      </c>
      <c r="F36" s="101" t="s">
        <v>10</v>
      </c>
      <c r="G36" s="8" t="s">
        <v>78</v>
      </c>
      <c r="H36" s="10" t="s">
        <v>79</v>
      </c>
      <c r="I36" s="8" t="s">
        <v>387</v>
      </c>
      <c r="J36" s="8"/>
      <c r="K36" s="101">
        <v>2</v>
      </c>
      <c r="L36" s="8"/>
      <c r="M36" s="8"/>
      <c r="N36" s="8" t="s">
        <v>1130</v>
      </c>
      <c r="O36" s="8" t="s">
        <v>1172</v>
      </c>
      <c r="P36" s="8"/>
      <c r="Q36" s="8">
        <v>0.33339999999999997</v>
      </c>
      <c r="R36" s="8"/>
      <c r="S36" s="372"/>
      <c r="T36" s="8"/>
      <c r="U36" s="8"/>
      <c r="V36" s="376"/>
    </row>
    <row r="37" spans="1:22" ht="45" x14ac:dyDescent="0.25">
      <c r="A37" s="9" t="s">
        <v>388</v>
      </c>
      <c r="B37" s="9" t="s">
        <v>389</v>
      </c>
      <c r="C37" s="9" t="s">
        <v>390</v>
      </c>
      <c r="D37" s="9" t="s">
        <v>391</v>
      </c>
      <c r="E37" s="102" t="s">
        <v>1259</v>
      </c>
      <c r="F37" s="102" t="s">
        <v>25</v>
      </c>
      <c r="G37" s="9" t="s">
        <v>78</v>
      </c>
      <c r="H37" s="12" t="s">
        <v>79</v>
      </c>
      <c r="I37" s="9" t="s">
        <v>392</v>
      </c>
      <c r="J37" s="9"/>
      <c r="K37" s="102">
        <v>3</v>
      </c>
      <c r="L37" s="9"/>
      <c r="M37" s="9"/>
      <c r="N37" s="9" t="s">
        <v>1130</v>
      </c>
      <c r="O37" s="9" t="s">
        <v>1172</v>
      </c>
      <c r="P37" s="9"/>
      <c r="Q37" s="9">
        <v>0.33329999999999999</v>
      </c>
      <c r="R37" s="9"/>
      <c r="S37" s="373"/>
      <c r="T37" s="9"/>
      <c r="U37" s="9"/>
      <c r="V37" s="377"/>
    </row>
    <row r="38" spans="1:22" ht="195" x14ac:dyDescent="0.25">
      <c r="A38" s="103" t="s">
        <v>393</v>
      </c>
      <c r="B38" s="103" t="s">
        <v>394</v>
      </c>
      <c r="C38" s="103" t="s">
        <v>395</v>
      </c>
      <c r="D38" s="103" t="s">
        <v>396</v>
      </c>
      <c r="E38" s="104" t="s">
        <v>1260</v>
      </c>
      <c r="F38" s="104" t="s">
        <v>388</v>
      </c>
      <c r="G38" s="103" t="s">
        <v>153</v>
      </c>
      <c r="H38" s="105" t="s">
        <v>79</v>
      </c>
      <c r="I38" s="103" t="s">
        <v>397</v>
      </c>
      <c r="J38" s="103" t="s">
        <v>1576</v>
      </c>
      <c r="K38" s="104" t="s">
        <v>158</v>
      </c>
      <c r="L38" s="103"/>
      <c r="M38" s="103"/>
      <c r="N38" s="103" t="s">
        <v>1130</v>
      </c>
      <c r="O38" s="103" t="s">
        <v>1177</v>
      </c>
      <c r="P38" s="103"/>
      <c r="Q38" s="103">
        <v>0.5</v>
      </c>
      <c r="R38" s="103" t="s">
        <v>1747</v>
      </c>
      <c r="S38" s="374">
        <v>0</v>
      </c>
      <c r="T38" s="103">
        <v>1</v>
      </c>
      <c r="U38" s="103"/>
      <c r="V38" s="378"/>
    </row>
    <row r="39" spans="1:22" ht="165" x14ac:dyDescent="0.25">
      <c r="A39" s="103" t="s">
        <v>398</v>
      </c>
      <c r="B39" s="103" t="s">
        <v>399</v>
      </c>
      <c r="C39" s="103" t="s">
        <v>400</v>
      </c>
      <c r="D39" s="103" t="s">
        <v>401</v>
      </c>
      <c r="E39" s="104" t="s">
        <v>1261</v>
      </c>
      <c r="F39" s="104" t="s">
        <v>388</v>
      </c>
      <c r="G39" s="103" t="s">
        <v>153</v>
      </c>
      <c r="H39" s="105" t="s">
        <v>79</v>
      </c>
      <c r="I39" s="103" t="s">
        <v>402</v>
      </c>
      <c r="J39" s="103" t="s">
        <v>1555</v>
      </c>
      <c r="K39" s="104" t="s">
        <v>158</v>
      </c>
      <c r="L39" s="103"/>
      <c r="M39" s="103"/>
      <c r="N39" s="103" t="s">
        <v>1130</v>
      </c>
      <c r="O39" s="103" t="s">
        <v>1177</v>
      </c>
      <c r="P39" s="103"/>
      <c r="Q39" s="103">
        <v>0.5</v>
      </c>
      <c r="R39" s="103" t="s">
        <v>1748</v>
      </c>
      <c r="S39" s="374">
        <v>0</v>
      </c>
      <c r="T39" s="103">
        <v>1</v>
      </c>
      <c r="U39" s="103"/>
      <c r="V39" s="378"/>
    </row>
    <row r="40" spans="1:22" ht="105" x14ac:dyDescent="0.25">
      <c r="A40" s="9" t="s">
        <v>403</v>
      </c>
      <c r="B40" s="9" t="s">
        <v>404</v>
      </c>
      <c r="C40" s="9" t="s">
        <v>1749</v>
      </c>
      <c r="D40" s="9" t="s">
        <v>405</v>
      </c>
      <c r="E40" s="102" t="s">
        <v>424</v>
      </c>
      <c r="F40" s="102" t="s">
        <v>25</v>
      </c>
      <c r="G40" s="9" t="s">
        <v>1384</v>
      </c>
      <c r="H40" s="12" t="s">
        <v>79</v>
      </c>
      <c r="I40" s="9" t="s">
        <v>406</v>
      </c>
      <c r="J40" s="9" t="s">
        <v>1555</v>
      </c>
      <c r="K40" s="102">
        <v>3</v>
      </c>
      <c r="L40" s="9"/>
      <c r="M40" s="9"/>
      <c r="N40" s="9" t="s">
        <v>1130</v>
      </c>
      <c r="O40" s="9" t="s">
        <v>1177</v>
      </c>
      <c r="P40" s="9"/>
      <c r="Q40" s="9">
        <v>0.33329999999999999</v>
      </c>
      <c r="R40" s="9" t="s">
        <v>1750</v>
      </c>
      <c r="S40" s="373"/>
      <c r="T40" s="9"/>
      <c r="U40" s="9"/>
      <c r="V40" s="377"/>
    </row>
    <row r="41" spans="1:22" ht="90" x14ac:dyDescent="0.25">
      <c r="A41" s="9" t="s">
        <v>408</v>
      </c>
      <c r="B41" s="9" t="s">
        <v>409</v>
      </c>
      <c r="C41" s="9" t="s">
        <v>410</v>
      </c>
      <c r="D41" s="9" t="s">
        <v>411</v>
      </c>
      <c r="E41" s="102" t="s">
        <v>1262</v>
      </c>
      <c r="F41" s="102" t="s">
        <v>25</v>
      </c>
      <c r="G41" s="9" t="s">
        <v>153</v>
      </c>
      <c r="H41" s="12" t="s">
        <v>79</v>
      </c>
      <c r="I41" s="9" t="s">
        <v>412</v>
      </c>
      <c r="J41" s="9" t="s">
        <v>1494</v>
      </c>
      <c r="K41" s="102" t="s">
        <v>150</v>
      </c>
      <c r="L41" s="9"/>
      <c r="M41" s="9"/>
      <c r="N41" s="9" t="s">
        <v>1130</v>
      </c>
      <c r="O41" s="9" t="s">
        <v>1177</v>
      </c>
      <c r="P41" s="9"/>
      <c r="Q41" s="9">
        <v>0.33339999999999997</v>
      </c>
      <c r="R41" s="9" t="s">
        <v>1491</v>
      </c>
      <c r="S41" s="373">
        <v>0</v>
      </c>
      <c r="T41" s="9">
        <v>1</v>
      </c>
      <c r="U41" s="9"/>
      <c r="V41" s="377"/>
    </row>
    <row r="42" spans="1:22" ht="45" x14ac:dyDescent="0.25">
      <c r="A42" s="89" t="s">
        <v>413</v>
      </c>
      <c r="B42" s="89" t="s">
        <v>414</v>
      </c>
      <c r="C42" s="89" t="s">
        <v>415</v>
      </c>
      <c r="D42" s="91" t="s">
        <v>78</v>
      </c>
      <c r="E42" s="91" t="s">
        <v>78</v>
      </c>
      <c r="F42" s="91" t="s">
        <v>393</v>
      </c>
      <c r="G42" s="89" t="s">
        <v>78</v>
      </c>
      <c r="H42" s="92" t="s">
        <v>416</v>
      </c>
      <c r="I42" s="89" t="s">
        <v>78</v>
      </c>
      <c r="J42" s="89" t="s">
        <v>1576</v>
      </c>
      <c r="K42" s="91" t="s">
        <v>337</v>
      </c>
      <c r="L42" s="89" t="s">
        <v>105</v>
      </c>
      <c r="M42" s="89"/>
      <c r="N42" s="89" t="s">
        <v>1130</v>
      </c>
      <c r="O42" s="89" t="s">
        <v>1176</v>
      </c>
      <c r="P42" s="89"/>
      <c r="Q42" s="89"/>
      <c r="R42" s="89"/>
      <c r="S42" s="98"/>
      <c r="T42" s="89"/>
      <c r="U42" s="89"/>
      <c r="V42" s="93"/>
    </row>
    <row r="43" spans="1:22" ht="60" x14ac:dyDescent="0.25">
      <c r="A43" s="89" t="s">
        <v>417</v>
      </c>
      <c r="B43" s="89" t="s">
        <v>418</v>
      </c>
      <c r="C43" s="89" t="s">
        <v>419</v>
      </c>
      <c r="D43" s="91" t="s">
        <v>78</v>
      </c>
      <c r="E43" s="91" t="s">
        <v>78</v>
      </c>
      <c r="F43" s="91" t="s">
        <v>1259</v>
      </c>
      <c r="G43" s="89" t="s">
        <v>78</v>
      </c>
      <c r="H43" s="92" t="s">
        <v>416</v>
      </c>
      <c r="I43" s="89" t="s">
        <v>78</v>
      </c>
      <c r="J43" s="89" t="s">
        <v>1494</v>
      </c>
      <c r="K43" s="91" t="s">
        <v>337</v>
      </c>
      <c r="L43" s="89" t="s">
        <v>105</v>
      </c>
      <c r="M43" s="89"/>
      <c r="N43" s="89" t="s">
        <v>1130</v>
      </c>
      <c r="O43" s="89" t="s">
        <v>1176</v>
      </c>
      <c r="P43" s="89"/>
      <c r="Q43" s="89"/>
      <c r="R43" s="89"/>
      <c r="S43" s="98"/>
      <c r="T43" s="89"/>
      <c r="U43" s="89"/>
      <c r="V43" s="93"/>
    </row>
    <row r="44" spans="1:22" ht="45" x14ac:dyDescent="0.25">
      <c r="A44" s="89" t="s">
        <v>420</v>
      </c>
      <c r="B44" s="89" t="s">
        <v>421</v>
      </c>
      <c r="C44" s="89" t="s">
        <v>422</v>
      </c>
      <c r="D44" s="91" t="s">
        <v>78</v>
      </c>
      <c r="E44" s="91" t="s">
        <v>78</v>
      </c>
      <c r="F44" s="91" t="s">
        <v>398</v>
      </c>
      <c r="G44" s="89" t="s">
        <v>78</v>
      </c>
      <c r="H44" s="92" t="s">
        <v>416</v>
      </c>
      <c r="I44" s="89" t="s">
        <v>78</v>
      </c>
      <c r="J44" s="89" t="s">
        <v>1555</v>
      </c>
      <c r="K44" s="91" t="s">
        <v>337</v>
      </c>
      <c r="L44" s="89" t="s">
        <v>105</v>
      </c>
      <c r="M44" s="89"/>
      <c r="N44" s="89" t="s">
        <v>1130</v>
      </c>
      <c r="O44" s="89" t="s">
        <v>1176</v>
      </c>
      <c r="P44" s="89"/>
      <c r="Q44" s="89"/>
      <c r="R44" s="89"/>
      <c r="S44" s="98"/>
      <c r="T44" s="89"/>
      <c r="U44" s="89"/>
      <c r="V44" s="93"/>
    </row>
    <row r="45" spans="1:22" ht="105" x14ac:dyDescent="0.25">
      <c r="A45" s="89" t="s">
        <v>424</v>
      </c>
      <c r="B45" s="89" t="s">
        <v>425</v>
      </c>
      <c r="C45" s="89" t="s">
        <v>1160</v>
      </c>
      <c r="D45" s="91" t="s">
        <v>78</v>
      </c>
      <c r="E45" s="91" t="s">
        <v>78</v>
      </c>
      <c r="F45" s="91" t="s">
        <v>1263</v>
      </c>
      <c r="G45" s="89" t="s">
        <v>78</v>
      </c>
      <c r="H45" s="92" t="s">
        <v>416</v>
      </c>
      <c r="I45" s="89" t="s">
        <v>78</v>
      </c>
      <c r="J45" s="89" t="s">
        <v>1639</v>
      </c>
      <c r="K45" s="91" t="s">
        <v>337</v>
      </c>
      <c r="L45" s="89" t="s">
        <v>105</v>
      </c>
      <c r="M45" s="89"/>
      <c r="N45" s="89" t="s">
        <v>1130</v>
      </c>
      <c r="O45" s="89" t="s">
        <v>1176</v>
      </c>
      <c r="P45" s="89"/>
      <c r="Q45" s="89"/>
      <c r="R45" s="89" t="s">
        <v>1640</v>
      </c>
      <c r="S45" s="98"/>
      <c r="T45" s="89"/>
      <c r="U45" s="89"/>
      <c r="V45" s="93"/>
    </row>
    <row r="46" spans="1:22" ht="75" x14ac:dyDescent="0.25">
      <c r="A46" s="89" t="s">
        <v>426</v>
      </c>
      <c r="B46" s="89" t="s">
        <v>427</v>
      </c>
      <c r="C46" s="89" t="s">
        <v>428</v>
      </c>
      <c r="D46" s="91" t="s">
        <v>78</v>
      </c>
      <c r="E46" s="91" t="s">
        <v>78</v>
      </c>
      <c r="F46" s="91" t="s">
        <v>408</v>
      </c>
      <c r="G46" s="89" t="s">
        <v>78</v>
      </c>
      <c r="H46" s="92" t="s">
        <v>416</v>
      </c>
      <c r="I46" s="89" t="s">
        <v>78</v>
      </c>
      <c r="J46" s="89" t="s">
        <v>1577</v>
      </c>
      <c r="K46" s="91" t="s">
        <v>337</v>
      </c>
      <c r="L46" s="89" t="s">
        <v>105</v>
      </c>
      <c r="M46" s="89"/>
      <c r="N46" s="89" t="s">
        <v>1130</v>
      </c>
      <c r="O46" s="89" t="s">
        <v>1176</v>
      </c>
      <c r="P46" s="89"/>
      <c r="Q46" s="89"/>
      <c r="R46" s="89" t="s">
        <v>1641</v>
      </c>
      <c r="S46" s="88"/>
      <c r="T46" s="94"/>
      <c r="U46" s="94"/>
      <c r="V46" s="97"/>
    </row>
  </sheetData>
  <autoFilter ref="A1:R46" xr:uid="{84561C01-AA8D-4C0B-B917-2E345D944766}"/>
  <phoneticPr fontId="3"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158E-3FD1-444F-87AD-81E7FC257038}">
  <sheetPr>
    <tabColor rgb="FFFFE7FF"/>
  </sheetPr>
  <dimension ref="A1:V32"/>
  <sheetViews>
    <sheetView topLeftCell="B1" zoomScale="85" zoomScaleNormal="85" workbookViewId="0">
      <pane ySplit="1" topLeftCell="A26" activePane="bottomLeft" state="frozen"/>
      <selection pane="bottomLeft" activeCell="V32" sqref="V32"/>
    </sheetView>
  </sheetViews>
  <sheetFormatPr defaultColWidth="11.42578125" defaultRowHeight="15" x14ac:dyDescent="0.25"/>
  <cols>
    <col min="1" max="1" width="11" style="2" bestFit="1" customWidth="1"/>
    <col min="2" max="2" width="48" style="2" bestFit="1" customWidth="1"/>
    <col min="3" max="3" width="43.5703125" style="2" bestFit="1" customWidth="1"/>
    <col min="4" max="4" width="43.5703125" style="2" customWidth="1"/>
    <col min="5" max="5" width="31.5703125" style="14" customWidth="1"/>
    <col min="6" max="6" width="26" style="291" customWidth="1"/>
    <col min="7" max="7" width="26" style="14" customWidth="1"/>
    <col min="8" max="8" width="11" style="122" bestFit="1" customWidth="1"/>
    <col min="9" max="9" width="28.5703125" style="2" bestFit="1" customWidth="1"/>
    <col min="10" max="10" width="21.5703125" style="2" customWidth="1"/>
    <col min="11" max="11" width="8" style="14" customWidth="1"/>
    <col min="14" max="14" width="16.140625" customWidth="1"/>
    <col min="15" max="15" width="14.28515625" hidden="1" customWidth="1"/>
    <col min="16" max="16" width="0" hidden="1" customWidth="1"/>
    <col min="18" max="18" width="21.85546875" style="14" customWidth="1"/>
    <col min="19" max="19" width="12.42578125" style="2" customWidth="1"/>
    <col min="22" max="22" width="17.5703125" customWidth="1"/>
  </cols>
  <sheetData>
    <row r="1" spans="1:22" ht="36.75" customHeight="1" x14ac:dyDescent="0.25">
      <c r="A1" s="6" t="s">
        <v>65</v>
      </c>
      <c r="B1" s="5" t="s">
        <v>66</v>
      </c>
      <c r="C1" s="5" t="s">
        <v>8</v>
      </c>
      <c r="D1" s="5" t="s">
        <v>67</v>
      </c>
      <c r="E1" s="13" t="s">
        <v>68</v>
      </c>
      <c r="F1" s="283" t="s">
        <v>1352</v>
      </c>
      <c r="G1" s="13" t="s">
        <v>69</v>
      </c>
      <c r="H1" s="13" t="s">
        <v>70</v>
      </c>
      <c r="I1" s="5" t="s">
        <v>71</v>
      </c>
      <c r="J1" s="13" t="s">
        <v>72</v>
      </c>
      <c r="K1" s="13" t="s">
        <v>73</v>
      </c>
      <c r="L1" s="351" t="s">
        <v>74</v>
      </c>
      <c r="M1" s="351" t="s">
        <v>1471</v>
      </c>
      <c r="N1" s="255" t="s">
        <v>1342</v>
      </c>
      <c r="O1" s="24" t="s">
        <v>1219</v>
      </c>
      <c r="P1" s="271" t="s">
        <v>1220</v>
      </c>
      <c r="Q1" s="24" t="s">
        <v>1346</v>
      </c>
      <c r="R1" s="32" t="s">
        <v>75</v>
      </c>
      <c r="S1" s="5" t="s">
        <v>1482</v>
      </c>
      <c r="T1" s="356" t="s">
        <v>1483</v>
      </c>
      <c r="U1" s="356" t="s">
        <v>1484</v>
      </c>
      <c r="V1" s="356" t="s">
        <v>1485</v>
      </c>
    </row>
    <row r="2" spans="1:22" ht="132" customHeight="1" x14ac:dyDescent="0.25">
      <c r="A2" s="106" t="s">
        <v>761</v>
      </c>
      <c r="B2" s="55" t="s">
        <v>762</v>
      </c>
      <c r="C2" s="55" t="s">
        <v>1751</v>
      </c>
      <c r="D2" s="55" t="s">
        <v>763</v>
      </c>
      <c r="E2" s="114" t="s">
        <v>1291</v>
      </c>
      <c r="F2" s="58" t="s">
        <v>78</v>
      </c>
      <c r="G2" s="114" t="s">
        <v>78</v>
      </c>
      <c r="H2" s="118" t="s">
        <v>79</v>
      </c>
      <c r="I2" s="55" t="s">
        <v>764</v>
      </c>
      <c r="J2" s="58"/>
      <c r="K2" s="58">
        <v>1</v>
      </c>
      <c r="L2" s="55"/>
      <c r="M2" s="110"/>
      <c r="N2" s="110" t="s">
        <v>1161</v>
      </c>
      <c r="O2" s="110" t="s">
        <v>1172</v>
      </c>
      <c r="P2" s="110"/>
      <c r="Q2" s="110"/>
      <c r="R2" s="110"/>
      <c r="S2" s="357"/>
      <c r="T2" s="357"/>
      <c r="U2" s="357"/>
      <c r="V2" s="357"/>
    </row>
    <row r="3" spans="1:22" ht="123.75" customHeight="1" x14ac:dyDescent="0.25">
      <c r="A3" s="107" t="s">
        <v>765</v>
      </c>
      <c r="B3" s="56" t="s">
        <v>766</v>
      </c>
      <c r="C3" s="56" t="s">
        <v>767</v>
      </c>
      <c r="D3" s="56" t="s">
        <v>768</v>
      </c>
      <c r="E3" s="115" t="s">
        <v>1292</v>
      </c>
      <c r="F3" s="59" t="s">
        <v>761</v>
      </c>
      <c r="G3" s="115" t="s">
        <v>78</v>
      </c>
      <c r="H3" s="119" t="s">
        <v>79</v>
      </c>
      <c r="I3" s="56" t="s">
        <v>769</v>
      </c>
      <c r="J3" s="59"/>
      <c r="K3" s="59">
        <v>2</v>
      </c>
      <c r="L3" s="56"/>
      <c r="M3" s="111"/>
      <c r="N3" s="111" t="s">
        <v>1129</v>
      </c>
      <c r="O3" s="111" t="s">
        <v>1172</v>
      </c>
      <c r="P3" s="111"/>
      <c r="Q3" s="111">
        <v>0.33329999999999999</v>
      </c>
      <c r="R3" s="111"/>
      <c r="S3" s="111"/>
      <c r="T3" s="56"/>
      <c r="U3" s="56"/>
      <c r="V3" s="56"/>
    </row>
    <row r="4" spans="1:22" ht="70.5" customHeight="1" x14ac:dyDescent="0.25">
      <c r="A4" s="108" t="s">
        <v>770</v>
      </c>
      <c r="B4" s="57" t="s">
        <v>771</v>
      </c>
      <c r="C4" s="57" t="s">
        <v>1752</v>
      </c>
      <c r="D4" s="57" t="s">
        <v>772</v>
      </c>
      <c r="E4" s="116" t="s">
        <v>1293</v>
      </c>
      <c r="F4" s="60" t="s">
        <v>765</v>
      </c>
      <c r="G4" s="116" t="s">
        <v>153</v>
      </c>
      <c r="H4" s="120" t="s">
        <v>79</v>
      </c>
      <c r="I4" s="57" t="s">
        <v>773</v>
      </c>
      <c r="J4" s="60" t="s">
        <v>1753</v>
      </c>
      <c r="K4" s="60">
        <v>3</v>
      </c>
      <c r="L4" s="57"/>
      <c r="M4" s="112"/>
      <c r="N4" s="112" t="s">
        <v>1129</v>
      </c>
      <c r="O4" s="112" t="s">
        <v>1177</v>
      </c>
      <c r="P4" s="112"/>
      <c r="Q4" s="112">
        <v>0.5</v>
      </c>
      <c r="R4" s="112" t="s">
        <v>1491</v>
      </c>
      <c r="S4" s="112">
        <v>0</v>
      </c>
      <c r="T4" s="57">
        <v>1</v>
      </c>
      <c r="U4" s="57"/>
      <c r="V4" s="57"/>
    </row>
    <row r="5" spans="1:22" ht="76.5" customHeight="1" x14ac:dyDescent="0.25">
      <c r="A5" s="108" t="s">
        <v>774</v>
      </c>
      <c r="B5" s="57" t="s">
        <v>775</v>
      </c>
      <c r="C5" s="57" t="s">
        <v>776</v>
      </c>
      <c r="D5" s="57" t="s">
        <v>777</v>
      </c>
      <c r="E5" s="116" t="s">
        <v>1294</v>
      </c>
      <c r="F5" s="60" t="s">
        <v>765</v>
      </c>
      <c r="G5" s="116" t="s">
        <v>153</v>
      </c>
      <c r="H5" s="120" t="s">
        <v>79</v>
      </c>
      <c r="I5" s="57" t="s">
        <v>778</v>
      </c>
      <c r="J5" s="60" t="s">
        <v>1754</v>
      </c>
      <c r="K5" s="60">
        <v>3</v>
      </c>
      <c r="L5" s="57"/>
      <c r="M5" s="112"/>
      <c r="N5" s="112" t="s">
        <v>1129</v>
      </c>
      <c r="O5" s="112" t="s">
        <v>1177</v>
      </c>
      <c r="P5" s="112"/>
      <c r="Q5" s="112">
        <v>0.5</v>
      </c>
      <c r="R5" s="112" t="s">
        <v>1755</v>
      </c>
      <c r="S5" s="112">
        <v>0</v>
      </c>
      <c r="T5" s="57">
        <v>1</v>
      </c>
      <c r="U5" s="57"/>
      <c r="V5" s="57"/>
    </row>
    <row r="6" spans="1:22" ht="45" x14ac:dyDescent="0.25">
      <c r="A6" s="109" t="s">
        <v>779</v>
      </c>
      <c r="B6" s="61" t="s">
        <v>780</v>
      </c>
      <c r="C6" s="61" t="s">
        <v>781</v>
      </c>
      <c r="D6" s="117" t="s">
        <v>78</v>
      </c>
      <c r="E6" s="117" t="s">
        <v>78</v>
      </c>
      <c r="F6" s="62" t="s">
        <v>1292</v>
      </c>
      <c r="G6" s="117" t="s">
        <v>78</v>
      </c>
      <c r="H6" s="121" t="s">
        <v>65</v>
      </c>
      <c r="I6" s="61" t="s">
        <v>78</v>
      </c>
      <c r="J6" s="62"/>
      <c r="K6" s="62">
        <v>5</v>
      </c>
      <c r="L6" s="61" t="s">
        <v>105</v>
      </c>
      <c r="M6" s="113"/>
      <c r="N6" s="113" t="s">
        <v>1129</v>
      </c>
      <c r="O6" s="113" t="s">
        <v>1176</v>
      </c>
      <c r="P6" s="113"/>
      <c r="Q6" s="113"/>
      <c r="R6" s="113"/>
      <c r="S6" s="113"/>
      <c r="T6" s="61"/>
      <c r="U6" s="61"/>
      <c r="V6" s="61"/>
    </row>
    <row r="7" spans="1:22" ht="60" x14ac:dyDescent="0.25">
      <c r="A7" s="109" t="s">
        <v>782</v>
      </c>
      <c r="B7" s="61" t="s">
        <v>783</v>
      </c>
      <c r="C7" s="61" t="s">
        <v>1642</v>
      </c>
      <c r="D7" s="117" t="s">
        <v>78</v>
      </c>
      <c r="E7" s="117" t="s">
        <v>78</v>
      </c>
      <c r="F7" s="62" t="s">
        <v>770</v>
      </c>
      <c r="G7" s="117" t="s">
        <v>78</v>
      </c>
      <c r="H7" s="121" t="s">
        <v>65</v>
      </c>
      <c r="I7" s="61" t="s">
        <v>78</v>
      </c>
      <c r="J7" s="62"/>
      <c r="K7" s="62">
        <v>5</v>
      </c>
      <c r="L7" s="61" t="s">
        <v>105</v>
      </c>
      <c r="M7" s="113"/>
      <c r="N7" s="113" t="s">
        <v>1129</v>
      </c>
      <c r="O7" s="113" t="s">
        <v>1176</v>
      </c>
      <c r="P7" s="113"/>
      <c r="Q7" s="113"/>
      <c r="R7" s="113"/>
      <c r="S7" s="113"/>
      <c r="T7" s="61"/>
      <c r="U7" s="61"/>
      <c r="V7" s="61"/>
    </row>
    <row r="8" spans="1:22" ht="45" x14ac:dyDescent="0.25">
      <c r="A8" s="109" t="s">
        <v>784</v>
      </c>
      <c r="B8" s="61" t="s">
        <v>785</v>
      </c>
      <c r="C8" s="61" t="s">
        <v>1462</v>
      </c>
      <c r="D8" s="117" t="s">
        <v>78</v>
      </c>
      <c r="E8" s="117" t="s">
        <v>78</v>
      </c>
      <c r="F8" s="62" t="s">
        <v>774</v>
      </c>
      <c r="G8" s="117" t="s">
        <v>78</v>
      </c>
      <c r="H8" s="121" t="s">
        <v>65</v>
      </c>
      <c r="I8" s="61" t="s">
        <v>78</v>
      </c>
      <c r="J8" s="62"/>
      <c r="K8" s="62">
        <v>5</v>
      </c>
      <c r="L8" s="61" t="s">
        <v>105</v>
      </c>
      <c r="M8" s="113"/>
      <c r="N8" s="113" t="s">
        <v>1129</v>
      </c>
      <c r="O8" s="113" t="s">
        <v>1176</v>
      </c>
      <c r="P8" s="113"/>
      <c r="Q8" s="113"/>
      <c r="R8" s="113"/>
      <c r="S8" s="113"/>
      <c r="T8" s="61"/>
      <c r="U8" s="61"/>
      <c r="V8" s="61"/>
    </row>
    <row r="9" spans="1:22" ht="68.25" customHeight="1" x14ac:dyDescent="0.25">
      <c r="A9" s="107" t="s">
        <v>786</v>
      </c>
      <c r="B9" s="56" t="s">
        <v>1756</v>
      </c>
      <c r="C9" s="56" t="s">
        <v>1757</v>
      </c>
      <c r="D9" s="56" t="s">
        <v>787</v>
      </c>
      <c r="E9" s="115" t="s">
        <v>1295</v>
      </c>
      <c r="F9" s="59" t="s">
        <v>761</v>
      </c>
      <c r="G9" s="115" t="s">
        <v>78</v>
      </c>
      <c r="H9" s="119" t="s">
        <v>79</v>
      </c>
      <c r="I9" s="56" t="s">
        <v>788</v>
      </c>
      <c r="J9" s="59"/>
      <c r="K9" s="59">
        <v>2</v>
      </c>
      <c r="L9" s="56"/>
      <c r="M9" s="111"/>
      <c r="N9" s="111" t="s">
        <v>1131</v>
      </c>
      <c r="O9" s="111" t="s">
        <v>1172</v>
      </c>
      <c r="P9" s="111"/>
      <c r="Q9" s="111">
        <v>0.33329999999999999</v>
      </c>
      <c r="R9" s="111"/>
      <c r="S9" s="111"/>
      <c r="T9" s="56"/>
      <c r="U9" s="56"/>
      <c r="V9" s="56"/>
    </row>
    <row r="10" spans="1:22" ht="74.45" customHeight="1" x14ac:dyDescent="0.25">
      <c r="A10" s="108" t="s">
        <v>789</v>
      </c>
      <c r="B10" s="57" t="s">
        <v>790</v>
      </c>
      <c r="C10" s="57" t="s">
        <v>1758</v>
      </c>
      <c r="D10" s="57" t="s">
        <v>791</v>
      </c>
      <c r="E10" s="116" t="s">
        <v>1296</v>
      </c>
      <c r="F10" s="60" t="s">
        <v>786</v>
      </c>
      <c r="G10" s="116" t="s">
        <v>153</v>
      </c>
      <c r="H10" s="120" t="s">
        <v>79</v>
      </c>
      <c r="I10" s="57" t="s">
        <v>792</v>
      </c>
      <c r="J10" s="112" t="s">
        <v>1457</v>
      </c>
      <c r="K10" s="60">
        <v>3</v>
      </c>
      <c r="L10" s="57"/>
      <c r="M10" s="112"/>
      <c r="N10" s="112" t="s">
        <v>1131</v>
      </c>
      <c r="O10" s="112" t="s">
        <v>1177</v>
      </c>
      <c r="P10" s="112"/>
      <c r="Q10" s="112">
        <v>0.25</v>
      </c>
      <c r="R10" s="112"/>
      <c r="S10" s="112"/>
      <c r="T10" s="57"/>
      <c r="U10" s="57"/>
      <c r="V10" s="57"/>
    </row>
    <row r="11" spans="1:22" ht="225" x14ac:dyDescent="0.25">
      <c r="A11" s="108" t="s">
        <v>793</v>
      </c>
      <c r="B11" s="57" t="s">
        <v>794</v>
      </c>
      <c r="C11" s="57" t="s">
        <v>1759</v>
      </c>
      <c r="D11" s="57" t="s">
        <v>795</v>
      </c>
      <c r="E11" s="116" t="s">
        <v>1760</v>
      </c>
      <c r="F11" s="60" t="s">
        <v>786</v>
      </c>
      <c r="G11" s="116" t="s">
        <v>153</v>
      </c>
      <c r="H11" s="120" t="s">
        <v>79</v>
      </c>
      <c r="I11" s="57" t="s">
        <v>796</v>
      </c>
      <c r="J11" s="60" t="s">
        <v>1436</v>
      </c>
      <c r="K11" s="60">
        <v>3</v>
      </c>
      <c r="L11" s="57"/>
      <c r="M11" s="112"/>
      <c r="N11" s="112" t="s">
        <v>1131</v>
      </c>
      <c r="O11" s="272" t="s">
        <v>1177</v>
      </c>
      <c r="P11" s="112"/>
      <c r="Q11" s="112">
        <v>0.25</v>
      </c>
      <c r="R11" s="112" t="s">
        <v>1761</v>
      </c>
      <c r="S11" s="112">
        <v>0</v>
      </c>
      <c r="T11" s="57">
        <v>1</v>
      </c>
      <c r="U11" s="57"/>
      <c r="V11" s="57"/>
    </row>
    <row r="12" spans="1:22" ht="17.45" customHeight="1" x14ac:dyDescent="0.25">
      <c r="A12" s="109" t="s">
        <v>797</v>
      </c>
      <c r="B12" s="61" t="s">
        <v>798</v>
      </c>
      <c r="C12" s="61" t="s">
        <v>799</v>
      </c>
      <c r="D12" s="117" t="s">
        <v>78</v>
      </c>
      <c r="E12" s="117" t="s">
        <v>78</v>
      </c>
      <c r="F12" s="62" t="s">
        <v>789</v>
      </c>
      <c r="G12" s="117" t="s">
        <v>78</v>
      </c>
      <c r="H12" s="121" t="s">
        <v>655</v>
      </c>
      <c r="I12" s="61" t="s">
        <v>78</v>
      </c>
      <c r="J12" s="62" t="s">
        <v>1450</v>
      </c>
      <c r="K12" s="62">
        <v>5</v>
      </c>
      <c r="L12" s="61" t="s">
        <v>105</v>
      </c>
      <c r="M12" s="113"/>
      <c r="N12" s="113" t="s">
        <v>1131</v>
      </c>
      <c r="O12" s="113" t="s">
        <v>1176</v>
      </c>
      <c r="P12" s="113"/>
      <c r="Q12" s="113"/>
      <c r="R12" s="113"/>
      <c r="S12" s="113"/>
      <c r="T12" s="61"/>
      <c r="U12" s="61"/>
      <c r="V12" s="61"/>
    </row>
    <row r="13" spans="1:22" s="2" customFormat="1" ht="32.1" customHeight="1" x14ac:dyDescent="0.25">
      <c r="A13" s="109" t="s">
        <v>800</v>
      </c>
      <c r="B13" s="61" t="s">
        <v>801</v>
      </c>
      <c r="C13" s="61" t="s">
        <v>802</v>
      </c>
      <c r="D13" s="117" t="s">
        <v>78</v>
      </c>
      <c r="E13" s="117" t="s">
        <v>78</v>
      </c>
      <c r="F13" s="62" t="s">
        <v>789</v>
      </c>
      <c r="G13" s="117" t="s">
        <v>78</v>
      </c>
      <c r="H13" s="121" t="s">
        <v>65</v>
      </c>
      <c r="I13" s="61" t="s">
        <v>78</v>
      </c>
      <c r="J13" s="62"/>
      <c r="K13" s="62">
        <v>5</v>
      </c>
      <c r="L13" s="61" t="s">
        <v>105</v>
      </c>
      <c r="M13" s="113"/>
      <c r="N13" s="113" t="s">
        <v>1131</v>
      </c>
      <c r="O13" s="113" t="s">
        <v>1176</v>
      </c>
      <c r="P13" s="113"/>
      <c r="Q13" s="113"/>
      <c r="R13" s="113"/>
      <c r="S13" s="113"/>
      <c r="T13" s="61"/>
      <c r="U13" s="61"/>
      <c r="V13" s="61"/>
    </row>
    <row r="14" spans="1:22" s="2" customFormat="1" ht="32.1" customHeight="1" x14ac:dyDescent="0.25">
      <c r="A14" s="109" t="s">
        <v>803</v>
      </c>
      <c r="B14" s="61" t="s">
        <v>804</v>
      </c>
      <c r="C14" s="61" t="s">
        <v>805</v>
      </c>
      <c r="D14" s="117" t="s">
        <v>78</v>
      </c>
      <c r="E14" s="117" t="s">
        <v>78</v>
      </c>
      <c r="F14" s="62" t="s">
        <v>793</v>
      </c>
      <c r="G14" s="117" t="s">
        <v>78</v>
      </c>
      <c r="H14" s="121" t="s">
        <v>65</v>
      </c>
      <c r="I14" s="61" t="s">
        <v>78</v>
      </c>
      <c r="J14" s="62"/>
      <c r="K14" s="62">
        <v>5</v>
      </c>
      <c r="L14" s="61" t="s">
        <v>105</v>
      </c>
      <c r="M14" s="113"/>
      <c r="N14" s="113" t="s">
        <v>1131</v>
      </c>
      <c r="O14" s="113" t="s">
        <v>1176</v>
      </c>
      <c r="P14" s="113"/>
      <c r="Q14" s="113"/>
      <c r="R14" s="113"/>
      <c r="S14" s="113"/>
      <c r="T14" s="61"/>
      <c r="U14" s="61"/>
      <c r="V14" s="61"/>
    </row>
    <row r="15" spans="1:22" ht="29.1" customHeight="1" x14ac:dyDescent="0.25">
      <c r="A15" s="109" t="s">
        <v>806</v>
      </c>
      <c r="B15" s="61" t="s">
        <v>807</v>
      </c>
      <c r="C15" s="61" t="s">
        <v>808</v>
      </c>
      <c r="D15" s="117" t="s">
        <v>78</v>
      </c>
      <c r="E15" s="117" t="s">
        <v>78</v>
      </c>
      <c r="F15" s="62" t="s">
        <v>793</v>
      </c>
      <c r="G15" s="117" t="s">
        <v>78</v>
      </c>
      <c r="H15" s="121" t="s">
        <v>65</v>
      </c>
      <c r="I15" s="61" t="s">
        <v>78</v>
      </c>
      <c r="J15" s="62" t="s">
        <v>1437</v>
      </c>
      <c r="K15" s="62">
        <v>5</v>
      </c>
      <c r="L15" s="61" t="s">
        <v>105</v>
      </c>
      <c r="M15" s="113"/>
      <c r="N15" s="113" t="s">
        <v>1131</v>
      </c>
      <c r="O15" s="113" t="s">
        <v>1176</v>
      </c>
      <c r="P15" s="113"/>
      <c r="Q15" s="113"/>
      <c r="R15" s="113"/>
      <c r="S15" s="113"/>
      <c r="T15" s="61"/>
      <c r="U15" s="61"/>
      <c r="V15" s="61"/>
    </row>
    <row r="16" spans="1:22" ht="105" x14ac:dyDescent="0.25">
      <c r="A16" s="108" t="s">
        <v>809</v>
      </c>
      <c r="B16" s="57" t="s">
        <v>810</v>
      </c>
      <c r="C16" s="57" t="s">
        <v>811</v>
      </c>
      <c r="D16" s="57" t="s">
        <v>1353</v>
      </c>
      <c r="E16" s="116" t="s">
        <v>1297</v>
      </c>
      <c r="F16" s="60" t="s">
        <v>786</v>
      </c>
      <c r="G16" s="116" t="s">
        <v>153</v>
      </c>
      <c r="H16" s="120" t="s">
        <v>79</v>
      </c>
      <c r="I16" s="112" t="s">
        <v>812</v>
      </c>
      <c r="J16" s="60" t="s">
        <v>1445</v>
      </c>
      <c r="K16" s="60" t="s">
        <v>150</v>
      </c>
      <c r="L16" s="57"/>
      <c r="M16" s="112"/>
      <c r="N16" s="112" t="s">
        <v>1131</v>
      </c>
      <c r="O16" s="112" t="s">
        <v>1177</v>
      </c>
      <c r="P16" s="112"/>
      <c r="Q16" s="112">
        <v>0.25</v>
      </c>
      <c r="R16" s="112" t="s">
        <v>1762</v>
      </c>
      <c r="S16" s="112"/>
      <c r="T16" s="57"/>
      <c r="U16" s="57"/>
      <c r="V16" s="57"/>
    </row>
    <row r="17" spans="1:22" ht="105" x14ac:dyDescent="0.25">
      <c r="A17" s="108" t="s">
        <v>813</v>
      </c>
      <c r="B17" s="57" t="s">
        <v>814</v>
      </c>
      <c r="C17" s="57" t="s">
        <v>1763</v>
      </c>
      <c r="D17" s="57" t="s">
        <v>815</v>
      </c>
      <c r="E17" s="116" t="s">
        <v>1298</v>
      </c>
      <c r="F17" s="60" t="s">
        <v>786</v>
      </c>
      <c r="G17" s="116" t="s">
        <v>153</v>
      </c>
      <c r="H17" s="120" t="s">
        <v>79</v>
      </c>
      <c r="I17" s="57" t="s">
        <v>816</v>
      </c>
      <c r="J17" s="60" t="s">
        <v>1450</v>
      </c>
      <c r="K17" s="60" t="s">
        <v>150</v>
      </c>
      <c r="L17" s="57"/>
      <c r="M17" s="112"/>
      <c r="N17" s="112" t="s">
        <v>1131</v>
      </c>
      <c r="O17" s="112" t="s">
        <v>1177</v>
      </c>
      <c r="P17" s="112"/>
      <c r="Q17" s="112">
        <v>0.25</v>
      </c>
      <c r="R17" s="112" t="s">
        <v>1764</v>
      </c>
      <c r="S17" s="112"/>
      <c r="T17" s="57"/>
      <c r="U17" s="57"/>
      <c r="V17" s="57"/>
    </row>
    <row r="18" spans="1:22" ht="30" x14ac:dyDescent="0.25">
      <c r="A18" s="109" t="s">
        <v>817</v>
      </c>
      <c r="B18" s="61" t="s">
        <v>818</v>
      </c>
      <c r="C18" s="61" t="s">
        <v>819</v>
      </c>
      <c r="D18" s="117" t="s">
        <v>78</v>
      </c>
      <c r="E18" s="117" t="s">
        <v>78</v>
      </c>
      <c r="F18" s="62" t="s">
        <v>809</v>
      </c>
      <c r="G18" s="117" t="s">
        <v>78</v>
      </c>
      <c r="H18" s="121" t="s">
        <v>820</v>
      </c>
      <c r="I18" s="61" t="s">
        <v>78</v>
      </c>
      <c r="J18" s="62"/>
      <c r="K18" s="62">
        <v>5</v>
      </c>
      <c r="L18" s="61" t="s">
        <v>105</v>
      </c>
      <c r="M18" s="113"/>
      <c r="N18" s="113" t="s">
        <v>1131</v>
      </c>
      <c r="O18" s="113" t="s">
        <v>1176</v>
      </c>
      <c r="P18" s="113"/>
      <c r="Q18" s="113"/>
      <c r="R18" s="113"/>
      <c r="S18" s="113"/>
      <c r="T18" s="61"/>
      <c r="U18" s="61"/>
      <c r="V18" s="61"/>
    </row>
    <row r="19" spans="1:22" ht="75" x14ac:dyDescent="0.25">
      <c r="A19" s="109" t="s">
        <v>821</v>
      </c>
      <c r="B19" s="61" t="s">
        <v>822</v>
      </c>
      <c r="C19" s="61" t="s">
        <v>1643</v>
      </c>
      <c r="D19" s="117" t="s">
        <v>78</v>
      </c>
      <c r="E19" s="117" t="s">
        <v>78</v>
      </c>
      <c r="F19" s="62" t="s">
        <v>1337</v>
      </c>
      <c r="G19" s="117" t="s">
        <v>78</v>
      </c>
      <c r="H19" s="121" t="s">
        <v>65</v>
      </c>
      <c r="I19" s="61" t="s">
        <v>78</v>
      </c>
      <c r="J19" s="62"/>
      <c r="K19" s="62">
        <v>5</v>
      </c>
      <c r="L19" s="61" t="s">
        <v>105</v>
      </c>
      <c r="M19" s="113"/>
      <c r="N19" s="113" t="s">
        <v>1131</v>
      </c>
      <c r="O19" s="113" t="s">
        <v>1176</v>
      </c>
      <c r="P19" s="113"/>
      <c r="Q19" s="113"/>
      <c r="R19" s="113"/>
      <c r="S19" s="113"/>
      <c r="T19" s="61"/>
      <c r="U19" s="61"/>
      <c r="V19" s="61"/>
    </row>
    <row r="20" spans="1:22" ht="30" x14ac:dyDescent="0.25">
      <c r="A20" s="109" t="s">
        <v>823</v>
      </c>
      <c r="B20" s="61" t="s">
        <v>824</v>
      </c>
      <c r="C20" s="61" t="s">
        <v>825</v>
      </c>
      <c r="D20" s="117" t="s">
        <v>78</v>
      </c>
      <c r="E20" s="117" t="s">
        <v>78</v>
      </c>
      <c r="F20" s="62" t="s">
        <v>813</v>
      </c>
      <c r="G20" s="117" t="s">
        <v>78</v>
      </c>
      <c r="H20" s="121" t="s">
        <v>655</v>
      </c>
      <c r="I20" s="61" t="s">
        <v>78</v>
      </c>
      <c r="J20" s="62"/>
      <c r="K20" s="62">
        <v>5</v>
      </c>
      <c r="L20" s="61" t="s">
        <v>105</v>
      </c>
      <c r="M20" s="113"/>
      <c r="N20" s="113" t="s">
        <v>1131</v>
      </c>
      <c r="O20" s="113" t="s">
        <v>1176</v>
      </c>
      <c r="P20" s="113"/>
      <c r="Q20" s="113"/>
      <c r="R20" s="113"/>
      <c r="S20" s="113"/>
      <c r="T20" s="61"/>
      <c r="U20" s="61"/>
      <c r="V20" s="61"/>
    </row>
    <row r="21" spans="1:22" ht="135" x14ac:dyDescent="0.25">
      <c r="A21" s="107" t="s">
        <v>826</v>
      </c>
      <c r="B21" s="56" t="s">
        <v>827</v>
      </c>
      <c r="C21" s="56" t="s">
        <v>1765</v>
      </c>
      <c r="D21" s="56" t="s">
        <v>828</v>
      </c>
      <c r="E21" s="115" t="s">
        <v>1299</v>
      </c>
      <c r="F21" s="59" t="s">
        <v>761</v>
      </c>
      <c r="G21" s="115" t="s">
        <v>78</v>
      </c>
      <c r="H21" s="119" t="s">
        <v>79</v>
      </c>
      <c r="I21" s="56" t="s">
        <v>829</v>
      </c>
      <c r="J21" s="59"/>
      <c r="K21" s="59">
        <v>2</v>
      </c>
      <c r="L21" s="56"/>
      <c r="M21" s="111"/>
      <c r="N21" s="111" t="s">
        <v>1130</v>
      </c>
      <c r="O21" s="111" t="s">
        <v>1172</v>
      </c>
      <c r="P21" s="111"/>
      <c r="Q21" s="111">
        <v>0.33339999999999997</v>
      </c>
      <c r="R21" s="111"/>
      <c r="S21" s="56"/>
      <c r="T21" s="56"/>
      <c r="U21" s="56"/>
      <c r="V21" s="56"/>
    </row>
    <row r="22" spans="1:22" ht="60" x14ac:dyDescent="0.25">
      <c r="A22" s="108" t="s">
        <v>830</v>
      </c>
      <c r="B22" s="57" t="s">
        <v>831</v>
      </c>
      <c r="C22" s="57" t="s">
        <v>1766</v>
      </c>
      <c r="D22" s="57" t="s">
        <v>832</v>
      </c>
      <c r="E22" s="116" t="s">
        <v>1300</v>
      </c>
      <c r="F22" s="60" t="s">
        <v>826</v>
      </c>
      <c r="G22" s="116" t="s">
        <v>153</v>
      </c>
      <c r="H22" s="120" t="s">
        <v>79</v>
      </c>
      <c r="I22" s="57" t="s">
        <v>833</v>
      </c>
      <c r="J22" s="60" t="s">
        <v>1545</v>
      </c>
      <c r="K22" s="60">
        <v>3</v>
      </c>
      <c r="L22" s="57"/>
      <c r="M22" s="112"/>
      <c r="N22" s="112" t="s">
        <v>1130</v>
      </c>
      <c r="O22" s="112" t="s">
        <v>1177</v>
      </c>
      <c r="P22" s="112"/>
      <c r="Q22" s="112">
        <v>0.25</v>
      </c>
      <c r="R22" s="112"/>
      <c r="S22" s="112"/>
      <c r="T22" s="57"/>
      <c r="U22" s="57"/>
      <c r="V22" s="57"/>
    </row>
    <row r="23" spans="1:22" ht="63" customHeight="1" x14ac:dyDescent="0.25">
      <c r="A23" s="108" t="s">
        <v>834</v>
      </c>
      <c r="B23" s="57" t="s">
        <v>835</v>
      </c>
      <c r="C23" s="57" t="s">
        <v>836</v>
      </c>
      <c r="D23" s="57" t="s">
        <v>837</v>
      </c>
      <c r="E23" s="116" t="s">
        <v>1301</v>
      </c>
      <c r="F23" s="60" t="s">
        <v>826</v>
      </c>
      <c r="G23" s="116" t="s">
        <v>153</v>
      </c>
      <c r="H23" s="120" t="s">
        <v>79</v>
      </c>
      <c r="I23" s="57" t="s">
        <v>838</v>
      </c>
      <c r="J23" s="60" t="s">
        <v>1449</v>
      </c>
      <c r="K23" s="60">
        <v>3</v>
      </c>
      <c r="L23" s="57"/>
      <c r="M23" s="112"/>
      <c r="N23" s="112" t="s">
        <v>1130</v>
      </c>
      <c r="O23" s="112" t="s">
        <v>1177</v>
      </c>
      <c r="P23" s="112"/>
      <c r="Q23" s="112">
        <v>0.25</v>
      </c>
      <c r="R23" s="112" t="s">
        <v>1491</v>
      </c>
      <c r="S23" s="112">
        <v>0</v>
      </c>
      <c r="T23" s="57">
        <v>1</v>
      </c>
      <c r="U23" s="57"/>
      <c r="V23" s="57"/>
    </row>
    <row r="24" spans="1:22" ht="120" x14ac:dyDescent="0.25">
      <c r="A24" s="108" t="s">
        <v>839</v>
      </c>
      <c r="B24" s="57" t="s">
        <v>840</v>
      </c>
      <c r="C24" s="57" t="s">
        <v>841</v>
      </c>
      <c r="D24" s="57" t="s">
        <v>842</v>
      </c>
      <c r="E24" s="116" t="s">
        <v>1302</v>
      </c>
      <c r="F24" s="60" t="s">
        <v>826</v>
      </c>
      <c r="G24" s="116" t="s">
        <v>153</v>
      </c>
      <c r="H24" s="120" t="s">
        <v>79</v>
      </c>
      <c r="I24" s="57" t="s">
        <v>843</v>
      </c>
      <c r="J24" s="60" t="s">
        <v>1767</v>
      </c>
      <c r="K24" s="60">
        <v>3</v>
      </c>
      <c r="L24" s="57"/>
      <c r="M24" s="112"/>
      <c r="N24" s="112" t="s">
        <v>1130</v>
      </c>
      <c r="O24" s="272" t="s">
        <v>1177</v>
      </c>
      <c r="P24" s="112"/>
      <c r="Q24" s="112">
        <v>0.25</v>
      </c>
      <c r="R24" s="112" t="s">
        <v>1491</v>
      </c>
      <c r="S24" s="112">
        <v>0</v>
      </c>
      <c r="T24" s="57">
        <v>1</v>
      </c>
      <c r="U24" s="57"/>
      <c r="V24" s="112"/>
    </row>
    <row r="25" spans="1:22" ht="45" x14ac:dyDescent="0.25">
      <c r="A25" s="109" t="s">
        <v>844</v>
      </c>
      <c r="B25" s="61" t="s">
        <v>845</v>
      </c>
      <c r="C25" s="61" t="s">
        <v>1644</v>
      </c>
      <c r="D25" s="117" t="s">
        <v>78</v>
      </c>
      <c r="E25" s="117" t="s">
        <v>78</v>
      </c>
      <c r="F25" s="62" t="s">
        <v>830</v>
      </c>
      <c r="G25" s="117" t="s">
        <v>78</v>
      </c>
      <c r="H25" s="121" t="s">
        <v>655</v>
      </c>
      <c r="I25" s="61" t="s">
        <v>78</v>
      </c>
      <c r="J25" s="62" t="s">
        <v>1545</v>
      </c>
      <c r="K25" s="62">
        <v>5</v>
      </c>
      <c r="L25" s="61" t="s">
        <v>105</v>
      </c>
      <c r="M25" s="113"/>
      <c r="N25" s="113" t="s">
        <v>1130</v>
      </c>
      <c r="O25" s="113" t="s">
        <v>1176</v>
      </c>
      <c r="P25" s="113"/>
      <c r="Q25" s="113"/>
      <c r="R25" s="113"/>
      <c r="S25" s="113"/>
      <c r="T25" s="61"/>
      <c r="U25" s="61"/>
      <c r="V25" s="61"/>
    </row>
    <row r="26" spans="1:22" ht="50.25" customHeight="1" x14ac:dyDescent="0.25">
      <c r="A26" s="109" t="s">
        <v>846</v>
      </c>
      <c r="B26" s="61" t="s">
        <v>847</v>
      </c>
      <c r="C26" s="61" t="s">
        <v>848</v>
      </c>
      <c r="D26" s="117" t="s">
        <v>78</v>
      </c>
      <c r="E26" s="117" t="s">
        <v>78</v>
      </c>
      <c r="F26" s="62" t="s">
        <v>1338</v>
      </c>
      <c r="G26" s="117" t="s">
        <v>78</v>
      </c>
      <c r="H26" s="121" t="s">
        <v>65</v>
      </c>
      <c r="I26" s="61" t="s">
        <v>78</v>
      </c>
      <c r="J26" s="62" t="s">
        <v>1444</v>
      </c>
      <c r="K26" s="62">
        <v>5</v>
      </c>
      <c r="L26" s="61" t="s">
        <v>105</v>
      </c>
      <c r="M26" s="113"/>
      <c r="N26" s="113" t="s">
        <v>1149</v>
      </c>
      <c r="O26" s="113" t="s">
        <v>1176</v>
      </c>
      <c r="P26" s="113"/>
      <c r="Q26" s="113"/>
      <c r="R26" s="113"/>
      <c r="S26" s="113"/>
      <c r="T26" s="61"/>
      <c r="U26" s="61"/>
      <c r="V26" s="61"/>
    </row>
    <row r="27" spans="1:22" ht="30" x14ac:dyDescent="0.25">
      <c r="A27" s="109" t="s">
        <v>849</v>
      </c>
      <c r="B27" s="61" t="s">
        <v>850</v>
      </c>
      <c r="C27" s="61" t="s">
        <v>851</v>
      </c>
      <c r="D27" s="117" t="s">
        <v>78</v>
      </c>
      <c r="E27" s="117" t="s">
        <v>78</v>
      </c>
      <c r="F27" s="62" t="s">
        <v>834</v>
      </c>
      <c r="G27" s="117" t="s">
        <v>78</v>
      </c>
      <c r="H27" s="121" t="s">
        <v>65</v>
      </c>
      <c r="I27" s="61" t="s">
        <v>78</v>
      </c>
      <c r="J27" s="62" t="s">
        <v>1443</v>
      </c>
      <c r="K27" s="62">
        <v>5</v>
      </c>
      <c r="L27" s="61" t="s">
        <v>105</v>
      </c>
      <c r="M27" s="113"/>
      <c r="N27" s="113" t="s">
        <v>1149</v>
      </c>
      <c r="O27" s="113" t="s">
        <v>1176</v>
      </c>
      <c r="P27" s="113"/>
      <c r="Q27" s="113"/>
      <c r="R27" s="113"/>
      <c r="S27" s="113"/>
      <c r="T27" s="61"/>
      <c r="U27" s="61"/>
      <c r="V27" s="61"/>
    </row>
    <row r="28" spans="1:22" ht="60" x14ac:dyDescent="0.25">
      <c r="A28" s="109" t="s">
        <v>852</v>
      </c>
      <c r="B28" s="61" t="s">
        <v>853</v>
      </c>
      <c r="C28" s="61" t="s">
        <v>854</v>
      </c>
      <c r="D28" s="117" t="s">
        <v>78</v>
      </c>
      <c r="E28" s="117" t="s">
        <v>78</v>
      </c>
      <c r="F28" s="62" t="s">
        <v>839</v>
      </c>
      <c r="G28" s="117" t="s">
        <v>78</v>
      </c>
      <c r="H28" s="121" t="s">
        <v>65</v>
      </c>
      <c r="I28" s="61" t="s">
        <v>78</v>
      </c>
      <c r="J28" s="62" t="s">
        <v>1434</v>
      </c>
      <c r="K28" s="62">
        <v>5</v>
      </c>
      <c r="L28" s="61" t="s">
        <v>105</v>
      </c>
      <c r="M28" s="113"/>
      <c r="N28" s="113" t="s">
        <v>1130</v>
      </c>
      <c r="O28" s="113" t="s">
        <v>1176</v>
      </c>
      <c r="P28" s="113"/>
      <c r="Q28" s="113"/>
      <c r="R28" s="113"/>
      <c r="S28" s="113"/>
      <c r="T28" s="61"/>
      <c r="U28" s="61"/>
      <c r="V28" s="61"/>
    </row>
    <row r="29" spans="1:22" ht="120" x14ac:dyDescent="0.25">
      <c r="A29" s="108" t="s">
        <v>1070</v>
      </c>
      <c r="B29" s="57" t="s">
        <v>1054</v>
      </c>
      <c r="C29" s="57" t="s">
        <v>1768</v>
      </c>
      <c r="D29" s="57" t="s">
        <v>1060</v>
      </c>
      <c r="E29" s="116" t="s">
        <v>1303</v>
      </c>
      <c r="F29" s="60" t="s">
        <v>826</v>
      </c>
      <c r="G29" s="116" t="s">
        <v>153</v>
      </c>
      <c r="H29" s="120" t="s">
        <v>79</v>
      </c>
      <c r="I29" s="57" t="s">
        <v>1071</v>
      </c>
      <c r="J29" s="60"/>
      <c r="K29" s="60">
        <v>3</v>
      </c>
      <c r="L29" s="57"/>
      <c r="M29" s="112"/>
      <c r="N29" s="112" t="s">
        <v>1142</v>
      </c>
      <c r="O29" s="112" t="s">
        <v>1172</v>
      </c>
      <c r="P29" s="112"/>
      <c r="Q29" s="112">
        <v>0.25</v>
      </c>
      <c r="R29" s="112" t="s">
        <v>1072</v>
      </c>
      <c r="S29" s="112"/>
      <c r="T29" s="112"/>
      <c r="U29" s="112"/>
      <c r="V29" s="112"/>
    </row>
    <row r="30" spans="1:22" ht="165" x14ac:dyDescent="0.25">
      <c r="A30" s="109" t="s">
        <v>1055</v>
      </c>
      <c r="B30" s="61" t="s">
        <v>1058</v>
      </c>
      <c r="C30" s="61" t="s">
        <v>1645</v>
      </c>
      <c r="D30" s="61"/>
      <c r="E30" s="117" t="s">
        <v>78</v>
      </c>
      <c r="F30" s="62" t="s">
        <v>1070</v>
      </c>
      <c r="G30" s="117" t="s">
        <v>78</v>
      </c>
      <c r="H30" s="121" t="s">
        <v>94</v>
      </c>
      <c r="I30" s="61" t="s">
        <v>78</v>
      </c>
      <c r="J30" s="62"/>
      <c r="K30" s="62">
        <v>5</v>
      </c>
      <c r="L30" s="61" t="s">
        <v>105</v>
      </c>
      <c r="M30" s="61"/>
      <c r="N30" s="113" t="s">
        <v>1142</v>
      </c>
      <c r="O30" s="113" t="s">
        <v>1177</v>
      </c>
      <c r="P30" s="113"/>
      <c r="Q30" s="113">
        <v>0.33329999999999999</v>
      </c>
      <c r="R30" s="113" t="s">
        <v>1646</v>
      </c>
      <c r="S30" s="113"/>
      <c r="T30" s="61"/>
      <c r="U30" s="61"/>
      <c r="V30" s="61"/>
    </row>
    <row r="31" spans="1:22" ht="135" x14ac:dyDescent="0.25">
      <c r="A31" s="109" t="s">
        <v>1056</v>
      </c>
      <c r="B31" s="61" t="s">
        <v>1059</v>
      </c>
      <c r="C31" s="61" t="s">
        <v>1647</v>
      </c>
      <c r="D31" s="61"/>
      <c r="E31" s="117" t="s">
        <v>78</v>
      </c>
      <c r="F31" s="62" t="s">
        <v>1070</v>
      </c>
      <c r="G31" s="117" t="s">
        <v>78</v>
      </c>
      <c r="H31" s="121" t="s">
        <v>94</v>
      </c>
      <c r="I31" s="61" t="s">
        <v>78</v>
      </c>
      <c r="J31" s="62" t="s">
        <v>1433</v>
      </c>
      <c r="K31" s="62">
        <v>5</v>
      </c>
      <c r="L31" s="61" t="s">
        <v>105</v>
      </c>
      <c r="M31" s="61"/>
      <c r="N31" s="113" t="s">
        <v>1142</v>
      </c>
      <c r="O31" s="113" t="s">
        <v>1177</v>
      </c>
      <c r="P31" s="113"/>
      <c r="Q31" s="113">
        <v>0.33329999999999999</v>
      </c>
      <c r="R31" s="113" t="s">
        <v>1648</v>
      </c>
      <c r="S31" s="113"/>
      <c r="T31" s="61"/>
      <c r="U31" s="61"/>
      <c r="V31" s="61"/>
    </row>
    <row r="32" spans="1:22" ht="135" x14ac:dyDescent="0.25">
      <c r="A32" s="109" t="s">
        <v>1057</v>
      </c>
      <c r="B32" s="61" t="s">
        <v>855</v>
      </c>
      <c r="C32" s="61" t="s">
        <v>1649</v>
      </c>
      <c r="D32" s="61"/>
      <c r="E32" s="117" t="s">
        <v>78</v>
      </c>
      <c r="F32" s="62" t="s">
        <v>1070</v>
      </c>
      <c r="G32" s="117" t="s">
        <v>78</v>
      </c>
      <c r="H32" s="121" t="s">
        <v>65</v>
      </c>
      <c r="I32" s="61" t="s">
        <v>78</v>
      </c>
      <c r="J32" s="62" t="s">
        <v>1435</v>
      </c>
      <c r="K32" s="62">
        <v>5</v>
      </c>
      <c r="L32" s="61" t="s">
        <v>105</v>
      </c>
      <c r="M32" s="61"/>
      <c r="N32" s="113" t="s">
        <v>1142</v>
      </c>
      <c r="O32" s="113" t="s">
        <v>1177</v>
      </c>
      <c r="P32" s="113"/>
      <c r="Q32" s="113">
        <v>0.33339999999999997</v>
      </c>
      <c r="R32" s="113" t="s">
        <v>1650</v>
      </c>
      <c r="S32" s="355"/>
      <c r="T32" s="61"/>
      <c r="U32" s="61"/>
      <c r="V32" s="61"/>
    </row>
  </sheetData>
  <phoneticPr fontId="3"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CBAD-A88A-4376-948C-4B46AEEAC2AB}">
  <sheetPr>
    <tabColor theme="6" tint="-0.249977111117893"/>
  </sheetPr>
  <dimension ref="A1:S146"/>
  <sheetViews>
    <sheetView tabSelected="1" zoomScaleNormal="100" workbookViewId="0">
      <pane ySplit="1" topLeftCell="A2" activePane="bottomLeft" state="frozen"/>
      <selection pane="bottomLeft" activeCell="J4" sqref="J4"/>
    </sheetView>
  </sheetViews>
  <sheetFormatPr defaultColWidth="11.42578125" defaultRowHeight="15" x14ac:dyDescent="0.25"/>
  <cols>
    <col min="1" max="1" width="11.42578125" style="2"/>
    <col min="2" max="2" width="43.7109375" style="2" customWidth="1"/>
    <col min="3" max="3" width="56.7109375" style="2" customWidth="1"/>
    <col min="4" max="4" width="17.140625" style="2" hidden="1" customWidth="1"/>
    <col min="5" max="5" width="17.28515625" style="14" hidden="1" customWidth="1"/>
    <col min="6" max="6" width="17.7109375" style="2" hidden="1" customWidth="1"/>
    <col min="7" max="7" width="27.28515625" style="2" customWidth="1"/>
    <col min="8" max="8" width="11.42578125" style="1"/>
    <col min="9" max="9" width="39" style="2" customWidth="1"/>
    <col min="10" max="10" width="26.42578125" style="2" customWidth="1"/>
    <col min="11" max="11" width="8" style="2" hidden="1" customWidth="1"/>
    <col min="12" max="12" width="10.7109375" style="2" customWidth="1"/>
    <col min="13" max="13" width="13.5703125" customWidth="1"/>
    <col min="14" max="14" width="25" style="2" customWidth="1"/>
    <col min="15" max="15" width="27.42578125" style="2" hidden="1" customWidth="1"/>
    <col min="16" max="16" width="16.28515625" style="2" customWidth="1"/>
    <col min="17" max="17" width="14.42578125" style="2" customWidth="1"/>
    <col min="18" max="18" width="21.7109375" style="2" customWidth="1"/>
    <col min="19" max="19" width="33.5703125" style="2" customWidth="1"/>
  </cols>
  <sheetData>
    <row r="1" spans="1:19" ht="30" x14ac:dyDescent="0.25">
      <c r="A1" s="400" t="s">
        <v>65</v>
      </c>
      <c r="B1" s="400" t="s">
        <v>66</v>
      </c>
      <c r="C1" s="400" t="s">
        <v>8</v>
      </c>
      <c r="D1" s="400" t="s">
        <v>67</v>
      </c>
      <c r="E1" s="401" t="s">
        <v>68</v>
      </c>
      <c r="F1" s="400" t="s">
        <v>1352</v>
      </c>
      <c r="G1" s="402" t="s">
        <v>69</v>
      </c>
      <c r="H1" s="400" t="s">
        <v>70</v>
      </c>
      <c r="I1" s="400" t="s">
        <v>71</v>
      </c>
      <c r="J1" s="400" t="s">
        <v>72</v>
      </c>
      <c r="K1" s="400" t="s">
        <v>73</v>
      </c>
      <c r="L1" s="400" t="s">
        <v>74</v>
      </c>
      <c r="M1" s="400" t="s">
        <v>1471</v>
      </c>
      <c r="N1" s="400" t="s">
        <v>1342</v>
      </c>
      <c r="O1" s="400" t="s">
        <v>1219</v>
      </c>
      <c r="P1" s="400" t="s">
        <v>1220</v>
      </c>
      <c r="Q1" s="400" t="s">
        <v>1346</v>
      </c>
      <c r="R1" s="403" t="s">
        <v>75</v>
      </c>
      <c r="S1"/>
    </row>
    <row r="2" spans="1:19" s="292" customFormat="1" ht="91.15" customHeight="1" x14ac:dyDescent="0.25">
      <c r="A2" s="380" t="s">
        <v>472</v>
      </c>
      <c r="B2" s="380" t="s">
        <v>473</v>
      </c>
      <c r="C2" s="380" t="s">
        <v>474</v>
      </c>
      <c r="D2" s="381" t="s">
        <v>78</v>
      </c>
      <c r="E2" s="381" t="s">
        <v>78</v>
      </c>
      <c r="F2" s="382" t="str">
        <f>HYPERLINK("#'Environmental Impact'!R[6]C[-5]","EN1-4
EN131
EN132
EN133
EN134
EN135")</f>
        <v>EN1-4
EN131
EN132
EN133
EN134
EN135</v>
      </c>
      <c r="G2" s="383" t="s">
        <v>78</v>
      </c>
      <c r="H2" s="384" t="s">
        <v>1088</v>
      </c>
      <c r="I2" s="380" t="s">
        <v>78</v>
      </c>
      <c r="J2" s="380" t="s">
        <v>1472</v>
      </c>
      <c r="K2" s="381">
        <v>5</v>
      </c>
      <c r="L2" s="380" t="s">
        <v>105</v>
      </c>
      <c r="M2" s="380" t="s">
        <v>33</v>
      </c>
      <c r="N2" s="380" t="s">
        <v>1126</v>
      </c>
      <c r="O2" s="380" t="s">
        <v>1176</v>
      </c>
      <c r="P2" s="380"/>
      <c r="Q2" s="380"/>
      <c r="R2" s="385"/>
    </row>
    <row r="3" spans="1:19" s="292" customFormat="1" ht="90" x14ac:dyDescent="0.25">
      <c r="A3" s="380" t="s">
        <v>475</v>
      </c>
      <c r="B3" s="380" t="s">
        <v>476</v>
      </c>
      <c r="C3" s="380" t="s">
        <v>477</v>
      </c>
      <c r="D3" s="381" t="s">
        <v>78</v>
      </c>
      <c r="E3" s="381" t="s">
        <v>78</v>
      </c>
      <c r="F3" s="382" t="str">
        <f>HYPERLINK("#'Environmental Impact'!R[6]C[-5]","EN1-4
EN131
EN132
EN133
EN134
EN135")</f>
        <v>EN1-4
EN131
EN132
EN133
EN134
EN135</v>
      </c>
      <c r="G3" s="386" t="s">
        <v>78</v>
      </c>
      <c r="H3" s="384" t="s">
        <v>1088</v>
      </c>
      <c r="I3" s="380" t="s">
        <v>78</v>
      </c>
      <c r="J3" s="380" t="s">
        <v>1442</v>
      </c>
      <c r="K3" s="381">
        <v>5</v>
      </c>
      <c r="L3" s="380" t="s">
        <v>105</v>
      </c>
      <c r="M3" s="380" t="s">
        <v>33</v>
      </c>
      <c r="N3" s="380" t="s">
        <v>1126</v>
      </c>
      <c r="O3" s="380" t="s">
        <v>1176</v>
      </c>
      <c r="P3" s="380"/>
      <c r="Q3" s="380"/>
      <c r="R3" s="385"/>
    </row>
    <row r="4" spans="1:19" s="292" customFormat="1" ht="90" x14ac:dyDescent="0.25">
      <c r="A4" s="380" t="s">
        <v>478</v>
      </c>
      <c r="B4" s="380" t="s">
        <v>479</v>
      </c>
      <c r="C4" s="380" t="s">
        <v>480</v>
      </c>
      <c r="D4" s="381" t="s">
        <v>78</v>
      </c>
      <c r="E4" s="381" t="s">
        <v>78</v>
      </c>
      <c r="F4" s="382" t="str">
        <f>HYPERLINK("#'Environmental Impact'!R[6]C[-5]","EN1-4
EN131
EN132
EN133
EN134
EN135")</f>
        <v>EN1-4
EN131
EN132
EN133
EN134
EN135</v>
      </c>
      <c r="G4" s="386" t="s">
        <v>78</v>
      </c>
      <c r="H4" s="384" t="s">
        <v>1088</v>
      </c>
      <c r="I4" s="380" t="s">
        <v>78</v>
      </c>
      <c r="J4" s="380" t="s">
        <v>1442</v>
      </c>
      <c r="K4" s="381">
        <v>5</v>
      </c>
      <c r="L4" s="380" t="s">
        <v>105</v>
      </c>
      <c r="M4" s="380" t="s">
        <v>33</v>
      </c>
      <c r="N4" s="380" t="s">
        <v>1126</v>
      </c>
      <c r="O4" s="380" t="s">
        <v>1176</v>
      </c>
      <c r="P4" s="380"/>
      <c r="Q4" s="380"/>
      <c r="R4" s="385"/>
    </row>
    <row r="5" spans="1:19" s="292" customFormat="1" ht="60" x14ac:dyDescent="0.25">
      <c r="A5" s="380" t="s">
        <v>485</v>
      </c>
      <c r="B5" s="380" t="s">
        <v>486</v>
      </c>
      <c r="C5" s="380" t="s">
        <v>1474</v>
      </c>
      <c r="D5" s="381" t="s">
        <v>78</v>
      </c>
      <c r="E5" s="381" t="s">
        <v>78</v>
      </c>
      <c r="F5" s="382" t="str">
        <f>HYPERLINK("#'Environmental Impact'!A4:Q4","EN11")</f>
        <v>EN11</v>
      </c>
      <c r="G5" s="380" t="s">
        <v>78</v>
      </c>
      <c r="H5" s="384" t="s">
        <v>1088</v>
      </c>
      <c r="I5" s="380" t="s">
        <v>78</v>
      </c>
      <c r="J5" s="380"/>
      <c r="K5" s="381" t="s">
        <v>337</v>
      </c>
      <c r="L5" s="380" t="s">
        <v>105</v>
      </c>
      <c r="M5" s="380" t="s">
        <v>33</v>
      </c>
      <c r="N5" s="380" t="s">
        <v>1126</v>
      </c>
      <c r="O5" s="380" t="s">
        <v>1176</v>
      </c>
      <c r="P5" s="380"/>
      <c r="Q5" s="380"/>
      <c r="R5" s="385"/>
    </row>
    <row r="6" spans="1:19" s="292" customFormat="1" ht="30" x14ac:dyDescent="0.25">
      <c r="A6" s="380" t="s">
        <v>504</v>
      </c>
      <c r="B6" s="380" t="s">
        <v>505</v>
      </c>
      <c r="C6" s="380" t="s">
        <v>506</v>
      </c>
      <c r="D6" s="381" t="s">
        <v>78</v>
      </c>
      <c r="E6" s="381" t="s">
        <v>78</v>
      </c>
      <c r="F6" s="382" t="str">
        <f>HYPERLINK("#'Environmental Impact'!A4:Q4","EN21")</f>
        <v>EN21</v>
      </c>
      <c r="G6" s="381" t="s">
        <v>78</v>
      </c>
      <c r="H6" s="384" t="s">
        <v>371</v>
      </c>
      <c r="I6" s="380" t="s">
        <v>78</v>
      </c>
      <c r="J6" s="380" t="s">
        <v>101</v>
      </c>
      <c r="K6" s="381">
        <v>5</v>
      </c>
      <c r="L6" s="380" t="s">
        <v>105</v>
      </c>
      <c r="M6" s="380"/>
      <c r="N6" s="380" t="s">
        <v>1126</v>
      </c>
      <c r="O6" s="380" t="s">
        <v>1176</v>
      </c>
      <c r="P6" s="380"/>
      <c r="Q6" s="380"/>
      <c r="R6" s="385"/>
    </row>
    <row r="7" spans="1:19" s="292" customFormat="1" x14ac:dyDescent="0.25">
      <c r="A7" s="380" t="s">
        <v>507</v>
      </c>
      <c r="B7" s="380" t="s">
        <v>508</v>
      </c>
      <c r="C7" s="380" t="s">
        <v>509</v>
      </c>
      <c r="D7" s="381" t="s">
        <v>78</v>
      </c>
      <c r="E7" s="381" t="s">
        <v>78</v>
      </c>
      <c r="F7" s="382" t="str">
        <f>HYPERLINK("#'Environmental Impact'!A19:Q19","EN21")</f>
        <v>EN21</v>
      </c>
      <c r="G7" s="381" t="s">
        <v>78</v>
      </c>
      <c r="H7" s="384" t="s">
        <v>371</v>
      </c>
      <c r="I7" s="380" t="s">
        <v>78</v>
      </c>
      <c r="J7" s="380"/>
      <c r="K7" s="381">
        <v>5</v>
      </c>
      <c r="L7" s="380" t="s">
        <v>105</v>
      </c>
      <c r="M7" s="380"/>
      <c r="N7" s="380" t="s">
        <v>1126</v>
      </c>
      <c r="O7" s="380" t="s">
        <v>1176</v>
      </c>
      <c r="P7" s="380"/>
      <c r="Q7" s="380"/>
      <c r="R7" s="385"/>
    </row>
    <row r="8" spans="1:19" s="292" customFormat="1" ht="30" x14ac:dyDescent="0.25">
      <c r="A8" s="380" t="s">
        <v>510</v>
      </c>
      <c r="B8" s="380" t="s">
        <v>1608</v>
      </c>
      <c r="C8" s="380" t="s">
        <v>1385</v>
      </c>
      <c r="D8" s="381" t="s">
        <v>78</v>
      </c>
      <c r="E8" s="381" t="s">
        <v>78</v>
      </c>
      <c r="F8" s="382" t="str">
        <f>HYPERLINK("#'Environmental Impact'!A20:Q20","EN22")</f>
        <v>EN22</v>
      </c>
      <c r="G8" s="381" t="s">
        <v>78</v>
      </c>
      <c r="H8" s="384" t="s">
        <v>416</v>
      </c>
      <c r="I8" s="380" t="s">
        <v>78</v>
      </c>
      <c r="J8" s="380"/>
      <c r="K8" s="381">
        <v>5</v>
      </c>
      <c r="L8" s="380" t="s">
        <v>105</v>
      </c>
      <c r="M8" s="380"/>
      <c r="N8" s="380" t="s">
        <v>1126</v>
      </c>
      <c r="O8" s="380" t="s">
        <v>1176</v>
      </c>
      <c r="P8" s="380">
        <v>97500</v>
      </c>
      <c r="Q8" s="380"/>
      <c r="R8" s="385"/>
    </row>
    <row r="9" spans="1:19" s="292" customFormat="1" x14ac:dyDescent="0.25">
      <c r="A9" s="380" t="s">
        <v>511</v>
      </c>
      <c r="B9" s="380" t="s">
        <v>1327</v>
      </c>
      <c r="C9" s="380" t="s">
        <v>512</v>
      </c>
      <c r="D9" s="381" t="s">
        <v>78</v>
      </c>
      <c r="E9" s="381" t="s">
        <v>78</v>
      </c>
      <c r="F9" s="382" t="str">
        <f>HYPERLINK("#'Environmental Impact'!A20:Q20","EN22")</f>
        <v>EN22</v>
      </c>
      <c r="G9" s="381" t="s">
        <v>78</v>
      </c>
      <c r="H9" s="384" t="s">
        <v>416</v>
      </c>
      <c r="I9" s="380" t="s">
        <v>78</v>
      </c>
      <c r="J9" s="380"/>
      <c r="K9" s="381">
        <v>5</v>
      </c>
      <c r="L9" s="380" t="s">
        <v>105</v>
      </c>
      <c r="M9" s="380"/>
      <c r="N9" s="380" t="s">
        <v>1126</v>
      </c>
      <c r="O9" s="380" t="s">
        <v>1176</v>
      </c>
      <c r="P9" s="380">
        <v>150000</v>
      </c>
      <c r="Q9" s="380"/>
      <c r="R9" s="385"/>
    </row>
    <row r="10" spans="1:19" s="292" customFormat="1" ht="30" x14ac:dyDescent="0.25">
      <c r="A10" s="380" t="s">
        <v>526</v>
      </c>
      <c r="B10" s="380" t="s">
        <v>527</v>
      </c>
      <c r="C10" s="380" t="s">
        <v>528</v>
      </c>
      <c r="D10" s="381" t="s">
        <v>78</v>
      </c>
      <c r="E10" s="381" t="s">
        <v>78</v>
      </c>
      <c r="F10" s="382" t="str">
        <f>HYPERLINK("#'Environmental Impact'!A26:Q26","EN31")</f>
        <v>EN31</v>
      </c>
      <c r="G10" s="381" t="s">
        <v>78</v>
      </c>
      <c r="H10" s="384" t="s">
        <v>329</v>
      </c>
      <c r="I10" s="380" t="s">
        <v>78</v>
      </c>
      <c r="J10" s="380"/>
      <c r="K10" s="381">
        <v>5</v>
      </c>
      <c r="L10" s="380" t="s">
        <v>105</v>
      </c>
      <c r="M10" s="380"/>
      <c r="N10" s="380" t="s">
        <v>1137</v>
      </c>
      <c r="O10" s="380" t="s">
        <v>1176</v>
      </c>
      <c r="P10" s="380"/>
      <c r="Q10" s="380"/>
      <c r="R10" s="385"/>
    </row>
    <row r="11" spans="1:19" s="292" customFormat="1" ht="30" x14ac:dyDescent="0.25">
      <c r="A11" s="380" t="s">
        <v>529</v>
      </c>
      <c r="B11" s="380" t="s">
        <v>530</v>
      </c>
      <c r="C11" s="380" t="s">
        <v>531</v>
      </c>
      <c r="D11" s="381" t="s">
        <v>78</v>
      </c>
      <c r="E11" s="381" t="s">
        <v>78</v>
      </c>
      <c r="F11" s="382" t="str">
        <f>HYPERLINK("#'Environmental Impact'!A27:Q27","EN32")</f>
        <v>EN32</v>
      </c>
      <c r="G11" s="381" t="s">
        <v>78</v>
      </c>
      <c r="H11" s="384" t="s">
        <v>329</v>
      </c>
      <c r="I11" s="380" t="s">
        <v>78</v>
      </c>
      <c r="J11" s="380"/>
      <c r="K11" s="381">
        <v>5</v>
      </c>
      <c r="L11" s="380" t="s">
        <v>105</v>
      </c>
      <c r="M11" s="380"/>
      <c r="N11" s="380" t="s">
        <v>1135</v>
      </c>
      <c r="O11" s="380" t="s">
        <v>1176</v>
      </c>
      <c r="P11" s="380"/>
      <c r="Q11" s="380" t="s">
        <v>1494</v>
      </c>
      <c r="R11" s="385"/>
    </row>
    <row r="12" spans="1:19" s="292" customFormat="1" ht="30" x14ac:dyDescent="0.25">
      <c r="A12" s="380" t="s">
        <v>532</v>
      </c>
      <c r="B12" s="380" t="s">
        <v>533</v>
      </c>
      <c r="C12" s="380" t="s">
        <v>534</v>
      </c>
      <c r="D12" s="381" t="s">
        <v>78</v>
      </c>
      <c r="E12" s="381" t="s">
        <v>78</v>
      </c>
      <c r="F12" s="382" t="str">
        <f>HYPERLINK("#'Environmental Impact'!A27:Q27","EN32")</f>
        <v>EN32</v>
      </c>
      <c r="G12" s="381" t="s">
        <v>78</v>
      </c>
      <c r="H12" s="384" t="s">
        <v>329</v>
      </c>
      <c r="I12" s="380" t="s">
        <v>78</v>
      </c>
      <c r="J12" s="380"/>
      <c r="K12" s="381">
        <v>5</v>
      </c>
      <c r="L12" s="380" t="s">
        <v>105</v>
      </c>
      <c r="M12" s="380"/>
      <c r="N12" s="380" t="s">
        <v>1136</v>
      </c>
      <c r="O12" s="380" t="s">
        <v>1176</v>
      </c>
      <c r="P12" s="380"/>
      <c r="Q12" s="380" t="s">
        <v>1494</v>
      </c>
      <c r="R12" s="385"/>
    </row>
    <row r="13" spans="1:19" s="292" customFormat="1" ht="90" x14ac:dyDescent="0.25">
      <c r="A13" s="380" t="s">
        <v>562</v>
      </c>
      <c r="B13" s="380" t="s">
        <v>563</v>
      </c>
      <c r="C13" s="380" t="s">
        <v>564</v>
      </c>
      <c r="D13" s="381" t="s">
        <v>78</v>
      </c>
      <c r="E13" s="381" t="s">
        <v>78</v>
      </c>
      <c r="F13" s="382" t="str">
        <f>HYPERLINK("#'Environmental Impact'!A32:Q32","EN41
EN441
EN442
EN443
EN444
EN445")</f>
        <v>EN41
EN441
EN442
EN443
EN444
EN445</v>
      </c>
      <c r="G13" s="380" t="s">
        <v>78</v>
      </c>
      <c r="H13" s="384" t="s">
        <v>416</v>
      </c>
      <c r="I13" s="380" t="s">
        <v>78</v>
      </c>
      <c r="J13" s="380" t="s">
        <v>565</v>
      </c>
      <c r="K13" s="381">
        <v>5</v>
      </c>
      <c r="L13" s="380" t="s">
        <v>105</v>
      </c>
      <c r="M13" s="380"/>
      <c r="N13" s="380" t="s">
        <v>1126</v>
      </c>
      <c r="O13" s="380" t="s">
        <v>1176</v>
      </c>
      <c r="P13" s="380"/>
      <c r="Q13" s="380"/>
      <c r="R13" s="385"/>
    </row>
    <row r="14" spans="1:19" s="292" customFormat="1" ht="75" x14ac:dyDescent="0.25">
      <c r="A14" s="380" t="s">
        <v>566</v>
      </c>
      <c r="B14" s="380" t="s">
        <v>567</v>
      </c>
      <c r="C14" s="380" t="s">
        <v>568</v>
      </c>
      <c r="D14" s="381" t="s">
        <v>78</v>
      </c>
      <c r="E14" s="381" t="s">
        <v>78</v>
      </c>
      <c r="F14" s="382" t="str">
        <f>HYPERLINK("#'Environmental Impact'!A32:Q32","EN441
EN442
EN443
EN444
EN445")</f>
        <v>EN441
EN442
EN443
EN444
EN445</v>
      </c>
      <c r="G14" s="380" t="s">
        <v>78</v>
      </c>
      <c r="H14" s="384" t="s">
        <v>416</v>
      </c>
      <c r="I14" s="380" t="s">
        <v>78</v>
      </c>
      <c r="J14" s="380" t="s">
        <v>565</v>
      </c>
      <c r="K14" s="381">
        <v>5</v>
      </c>
      <c r="L14" s="380" t="s">
        <v>105</v>
      </c>
      <c r="M14" s="380"/>
      <c r="N14" s="380" t="s">
        <v>1126</v>
      </c>
      <c r="O14" s="380" t="s">
        <v>1176</v>
      </c>
      <c r="P14" s="380"/>
      <c r="Q14" s="380"/>
      <c r="R14" s="385"/>
    </row>
    <row r="15" spans="1:19" s="292" customFormat="1" ht="75" x14ac:dyDescent="0.25">
      <c r="A15" s="380" t="s">
        <v>569</v>
      </c>
      <c r="B15" s="380" t="s">
        <v>1340</v>
      </c>
      <c r="C15" s="380" t="s">
        <v>570</v>
      </c>
      <c r="D15" s="381" t="s">
        <v>78</v>
      </c>
      <c r="E15" s="381" t="s">
        <v>78</v>
      </c>
      <c r="F15" s="382" t="str">
        <f>HYPERLINK("#'Environmental Impact'!A36:Q36","EN441
EN442
EN443
EN444
EN445")</f>
        <v>EN441
EN442
EN443
EN444
EN445</v>
      </c>
      <c r="G15" s="380" t="s">
        <v>78</v>
      </c>
      <c r="H15" s="384" t="s">
        <v>416</v>
      </c>
      <c r="I15" s="380" t="s">
        <v>78</v>
      </c>
      <c r="J15" s="380" t="s">
        <v>565</v>
      </c>
      <c r="K15" s="381">
        <v>5</v>
      </c>
      <c r="L15" s="380" t="s">
        <v>105</v>
      </c>
      <c r="M15" s="380"/>
      <c r="N15" s="380" t="s">
        <v>1126</v>
      </c>
      <c r="O15" s="380" t="s">
        <v>1176</v>
      </c>
      <c r="P15" s="380"/>
      <c r="Q15" s="380"/>
      <c r="R15" s="385"/>
    </row>
    <row r="16" spans="1:19" s="292" customFormat="1" ht="45" x14ac:dyDescent="0.25">
      <c r="A16" s="380" t="s">
        <v>580</v>
      </c>
      <c r="B16" s="380" t="s">
        <v>581</v>
      </c>
      <c r="C16" s="380" t="s">
        <v>582</v>
      </c>
      <c r="D16" s="381" t="s">
        <v>78</v>
      </c>
      <c r="E16" s="381" t="s">
        <v>78</v>
      </c>
      <c r="F16" s="382" t="str">
        <f>HYPERLINK("#'Environmental Impact'!A45:Q45","EN5")</f>
        <v>EN5</v>
      </c>
      <c r="G16" s="380" t="s">
        <v>78</v>
      </c>
      <c r="H16" s="384" t="s">
        <v>583</v>
      </c>
      <c r="I16" s="380" t="s">
        <v>78</v>
      </c>
      <c r="J16" s="380" t="s">
        <v>579</v>
      </c>
      <c r="K16" s="381">
        <v>5</v>
      </c>
      <c r="L16" s="380" t="s">
        <v>105</v>
      </c>
      <c r="M16" s="380"/>
      <c r="N16" s="380" t="s">
        <v>1135</v>
      </c>
      <c r="O16" s="380" t="s">
        <v>1176</v>
      </c>
      <c r="P16" s="380"/>
      <c r="Q16" s="380"/>
      <c r="R16" s="385"/>
    </row>
    <row r="17" spans="1:19" s="292" customFormat="1" ht="90" x14ac:dyDescent="0.25">
      <c r="A17" s="380" t="s">
        <v>584</v>
      </c>
      <c r="B17" s="380" t="s">
        <v>585</v>
      </c>
      <c r="C17" s="380" t="s">
        <v>586</v>
      </c>
      <c r="D17" s="381" t="s">
        <v>78</v>
      </c>
      <c r="E17" s="381" t="s">
        <v>78</v>
      </c>
      <c r="F17" s="382" t="str">
        <f>HYPERLINK("#'Environmental Impact'!A45:Q45","EN5")</f>
        <v>EN5</v>
      </c>
      <c r="G17" s="380" t="s">
        <v>78</v>
      </c>
      <c r="H17" s="384" t="s">
        <v>587</v>
      </c>
      <c r="I17" s="380" t="s">
        <v>78</v>
      </c>
      <c r="J17" s="380" t="s">
        <v>1609</v>
      </c>
      <c r="K17" s="381">
        <v>5</v>
      </c>
      <c r="L17" s="380" t="s">
        <v>105</v>
      </c>
      <c r="M17" s="380" t="s">
        <v>33</v>
      </c>
      <c r="N17" s="380" t="s">
        <v>1135</v>
      </c>
      <c r="O17" s="380" t="s">
        <v>1176</v>
      </c>
      <c r="P17" s="380"/>
      <c r="Q17" s="380" t="s">
        <v>1494</v>
      </c>
      <c r="R17" s="385" t="s">
        <v>1610</v>
      </c>
    </row>
    <row r="18" spans="1:19" s="292" customFormat="1" ht="60" x14ac:dyDescent="0.25">
      <c r="A18" s="380" t="s">
        <v>962</v>
      </c>
      <c r="B18" s="380" t="s">
        <v>970</v>
      </c>
      <c r="C18" s="380" t="s">
        <v>983</v>
      </c>
      <c r="D18" s="380" t="s">
        <v>78</v>
      </c>
      <c r="E18" s="381" t="s">
        <v>78</v>
      </c>
      <c r="F18" s="382" t="s">
        <v>960</v>
      </c>
      <c r="G18" s="380" t="s">
        <v>78</v>
      </c>
      <c r="H18" s="384" t="s">
        <v>977</v>
      </c>
      <c r="I18" s="380" t="s">
        <v>984</v>
      </c>
      <c r="J18" s="380" t="s">
        <v>1611</v>
      </c>
      <c r="K18" s="381">
        <v>5</v>
      </c>
      <c r="L18" s="380" t="s">
        <v>105</v>
      </c>
      <c r="M18" s="380" t="s">
        <v>33</v>
      </c>
      <c r="N18" s="380" t="s">
        <v>1144</v>
      </c>
      <c r="O18" s="380" t="s">
        <v>1177</v>
      </c>
      <c r="P18" s="380"/>
      <c r="Q18" s="380">
        <v>0.125</v>
      </c>
      <c r="R18" s="387" t="s">
        <v>1612</v>
      </c>
    </row>
    <row r="19" spans="1:19" s="292" customFormat="1" ht="60" x14ac:dyDescent="0.25">
      <c r="A19" s="380" t="s">
        <v>963</v>
      </c>
      <c r="B19" s="380" t="s">
        <v>971</v>
      </c>
      <c r="C19" s="380" t="s">
        <v>990</v>
      </c>
      <c r="D19" s="380" t="s">
        <v>78</v>
      </c>
      <c r="E19" s="381" t="s">
        <v>78</v>
      </c>
      <c r="F19" s="382" t="s">
        <v>960</v>
      </c>
      <c r="G19" s="380" t="s">
        <v>78</v>
      </c>
      <c r="H19" s="384" t="s">
        <v>1062</v>
      </c>
      <c r="I19" s="380" t="s">
        <v>1613</v>
      </c>
      <c r="J19" s="380" t="s">
        <v>1030</v>
      </c>
      <c r="K19" s="381">
        <v>5</v>
      </c>
      <c r="L19" s="380" t="s">
        <v>105</v>
      </c>
      <c r="M19" s="380" t="s">
        <v>33</v>
      </c>
      <c r="N19" s="380" t="s">
        <v>1126</v>
      </c>
      <c r="O19" s="380" t="s">
        <v>1177</v>
      </c>
      <c r="P19" s="380"/>
      <c r="Q19" s="380">
        <v>0.125</v>
      </c>
      <c r="R19" s="387" t="s">
        <v>1612</v>
      </c>
      <c r="S19" s="292" t="s">
        <v>1143</v>
      </c>
    </row>
    <row r="20" spans="1:19" s="292" customFormat="1" ht="90" x14ac:dyDescent="0.25">
      <c r="A20" s="380" t="s">
        <v>964</v>
      </c>
      <c r="B20" s="380" t="s">
        <v>972</v>
      </c>
      <c r="C20" s="380" t="s">
        <v>996</v>
      </c>
      <c r="D20" s="380" t="s">
        <v>78</v>
      </c>
      <c r="E20" s="381" t="s">
        <v>78</v>
      </c>
      <c r="F20" s="382" t="s">
        <v>960</v>
      </c>
      <c r="G20" s="380" t="s">
        <v>78</v>
      </c>
      <c r="H20" s="384" t="s">
        <v>978</v>
      </c>
      <c r="I20" s="380" t="s">
        <v>997</v>
      </c>
      <c r="J20" s="380" t="s">
        <v>1614</v>
      </c>
      <c r="K20" s="381">
        <v>5</v>
      </c>
      <c r="L20" s="380" t="s">
        <v>105</v>
      </c>
      <c r="M20" s="380" t="s">
        <v>33</v>
      </c>
      <c r="N20" s="380" t="s">
        <v>1126</v>
      </c>
      <c r="O20" s="380" t="s">
        <v>1177</v>
      </c>
      <c r="P20" s="380"/>
      <c r="Q20" s="380">
        <v>0.125</v>
      </c>
      <c r="R20" s="387" t="s">
        <v>1612</v>
      </c>
    </row>
    <row r="21" spans="1:19" s="292" customFormat="1" ht="90" x14ac:dyDescent="0.25">
      <c r="A21" s="380" t="s">
        <v>965</v>
      </c>
      <c r="B21" s="380" t="s">
        <v>973</v>
      </c>
      <c r="C21" s="380" t="s">
        <v>1615</v>
      </c>
      <c r="D21" s="380" t="s">
        <v>78</v>
      </c>
      <c r="E21" s="381" t="s">
        <v>78</v>
      </c>
      <c r="F21" s="382" t="s">
        <v>960</v>
      </c>
      <c r="G21" s="380" t="s">
        <v>78</v>
      </c>
      <c r="H21" s="384" t="s">
        <v>979</v>
      </c>
      <c r="I21" s="380" t="s">
        <v>1002</v>
      </c>
      <c r="J21" s="380" t="s">
        <v>1616</v>
      </c>
      <c r="K21" s="381">
        <v>5</v>
      </c>
      <c r="L21" s="380" t="s">
        <v>105</v>
      </c>
      <c r="M21" s="380" t="s">
        <v>33</v>
      </c>
      <c r="N21" s="380" t="s">
        <v>1135</v>
      </c>
      <c r="O21" s="380" t="s">
        <v>1177</v>
      </c>
      <c r="P21" s="380"/>
      <c r="Q21" s="380">
        <v>0.125</v>
      </c>
      <c r="R21" s="387" t="s">
        <v>1612</v>
      </c>
    </row>
    <row r="22" spans="1:19" s="292" customFormat="1" ht="60" x14ac:dyDescent="0.25">
      <c r="A22" s="380" t="s">
        <v>966</v>
      </c>
      <c r="B22" s="380" t="s">
        <v>974</v>
      </c>
      <c r="C22" s="380" t="s">
        <v>1004</v>
      </c>
      <c r="D22" s="380" t="s">
        <v>78</v>
      </c>
      <c r="E22" s="381" t="s">
        <v>78</v>
      </c>
      <c r="F22" s="382" t="s">
        <v>960</v>
      </c>
      <c r="G22" s="380" t="s">
        <v>78</v>
      </c>
      <c r="H22" s="384" t="s">
        <v>980</v>
      </c>
      <c r="I22" s="380" t="s">
        <v>1003</v>
      </c>
      <c r="J22" s="380" t="s">
        <v>1617</v>
      </c>
      <c r="K22" s="381">
        <v>5</v>
      </c>
      <c r="L22" s="380" t="s">
        <v>105</v>
      </c>
      <c r="M22" s="380" t="s">
        <v>33</v>
      </c>
      <c r="N22" s="380" t="s">
        <v>1135</v>
      </c>
      <c r="O22" s="380" t="s">
        <v>1177</v>
      </c>
      <c r="P22" s="380"/>
      <c r="Q22" s="380">
        <v>0.125</v>
      </c>
      <c r="R22" s="387" t="s">
        <v>1612</v>
      </c>
    </row>
    <row r="23" spans="1:19" s="292" customFormat="1" ht="60" x14ac:dyDescent="0.25">
      <c r="A23" s="380" t="s">
        <v>967</v>
      </c>
      <c r="B23" s="380" t="s">
        <v>975</v>
      </c>
      <c r="C23" s="380" t="s">
        <v>1005</v>
      </c>
      <c r="D23" s="380" t="s">
        <v>78</v>
      </c>
      <c r="E23" s="381" t="s">
        <v>78</v>
      </c>
      <c r="F23" s="382" t="s">
        <v>960</v>
      </c>
      <c r="G23" s="380" t="s">
        <v>78</v>
      </c>
      <c r="H23" s="384" t="s">
        <v>981</v>
      </c>
      <c r="I23" s="380" t="s">
        <v>1003</v>
      </c>
      <c r="J23" s="380" t="s">
        <v>1618</v>
      </c>
      <c r="K23" s="381">
        <v>5</v>
      </c>
      <c r="L23" s="380" t="s">
        <v>105</v>
      </c>
      <c r="M23" s="380" t="s">
        <v>33</v>
      </c>
      <c r="N23" s="380" t="s">
        <v>1135</v>
      </c>
      <c r="O23" s="380" t="s">
        <v>1177</v>
      </c>
      <c r="P23" s="380"/>
      <c r="Q23" s="380">
        <v>0.125</v>
      </c>
      <c r="R23" s="387" t="s">
        <v>1612</v>
      </c>
    </row>
    <row r="24" spans="1:19" s="292" customFormat="1" ht="60" x14ac:dyDescent="0.25">
      <c r="A24" s="380" t="s">
        <v>968</v>
      </c>
      <c r="B24" s="380" t="s">
        <v>1619</v>
      </c>
      <c r="C24" s="380" t="s">
        <v>1006</v>
      </c>
      <c r="D24" s="380" t="s">
        <v>78</v>
      </c>
      <c r="E24" s="381" t="s">
        <v>78</v>
      </c>
      <c r="F24" s="382" t="s">
        <v>960</v>
      </c>
      <c r="G24" s="380" t="s">
        <v>78</v>
      </c>
      <c r="H24" s="384" t="s">
        <v>982</v>
      </c>
      <c r="I24" s="380" t="s">
        <v>1002</v>
      </c>
      <c r="J24" s="380" t="s">
        <v>1616</v>
      </c>
      <c r="K24" s="381">
        <v>5</v>
      </c>
      <c r="L24" s="380" t="s">
        <v>105</v>
      </c>
      <c r="M24" s="380" t="s">
        <v>33</v>
      </c>
      <c r="N24" s="380" t="s">
        <v>1146</v>
      </c>
      <c r="O24" s="380" t="s">
        <v>1177</v>
      </c>
      <c r="P24" s="380"/>
      <c r="Q24" s="380">
        <v>0.125</v>
      </c>
      <c r="R24" s="387" t="s">
        <v>1612</v>
      </c>
    </row>
    <row r="25" spans="1:19" s="292" customFormat="1" ht="60" x14ac:dyDescent="0.25">
      <c r="A25" s="380" t="s">
        <v>969</v>
      </c>
      <c r="B25" s="380" t="s">
        <v>976</v>
      </c>
      <c r="C25" s="380" t="s">
        <v>1007</v>
      </c>
      <c r="D25" s="380" t="s">
        <v>78</v>
      </c>
      <c r="E25" s="381" t="s">
        <v>78</v>
      </c>
      <c r="F25" s="382" t="s">
        <v>960</v>
      </c>
      <c r="G25" s="380" t="s">
        <v>78</v>
      </c>
      <c r="H25" s="384" t="s">
        <v>1089</v>
      </c>
      <c r="I25" s="380" t="s">
        <v>1008</v>
      </c>
      <c r="J25" s="380" t="s">
        <v>1620</v>
      </c>
      <c r="K25" s="381">
        <v>5</v>
      </c>
      <c r="L25" s="380" t="s">
        <v>105</v>
      </c>
      <c r="M25" s="380" t="s">
        <v>33</v>
      </c>
      <c r="N25" s="380" t="s">
        <v>1126</v>
      </c>
      <c r="O25" s="380" t="s">
        <v>1177</v>
      </c>
      <c r="P25" s="380"/>
      <c r="Q25" s="380">
        <v>0.125</v>
      </c>
      <c r="R25" s="387" t="s">
        <v>1612</v>
      </c>
    </row>
    <row r="26" spans="1:19" s="292" customFormat="1" ht="60" x14ac:dyDescent="0.25">
      <c r="A26" s="380" t="s">
        <v>1017</v>
      </c>
      <c r="B26" s="380" t="s">
        <v>1020</v>
      </c>
      <c r="C26" s="380" t="s">
        <v>1023</v>
      </c>
      <c r="D26" s="381" t="s">
        <v>78</v>
      </c>
      <c r="E26" s="381" t="s">
        <v>78</v>
      </c>
      <c r="F26" s="382" t="str">
        <f>HYPERLINK("#'Environmental Impact'!A57:Q57","EN7")</f>
        <v>EN7</v>
      </c>
      <c r="G26" s="380" t="s">
        <v>78</v>
      </c>
      <c r="H26" s="384" t="s">
        <v>1015</v>
      </c>
      <c r="I26" s="380" t="s">
        <v>1621</v>
      </c>
      <c r="J26" s="380" t="s">
        <v>1622</v>
      </c>
      <c r="K26" s="381">
        <v>5</v>
      </c>
      <c r="L26" s="380" t="s">
        <v>105</v>
      </c>
      <c r="M26" s="388" t="s">
        <v>33</v>
      </c>
      <c r="N26" s="380" t="s">
        <v>1145</v>
      </c>
      <c r="O26" s="380" t="s">
        <v>1177</v>
      </c>
      <c r="P26" s="380"/>
      <c r="Q26" s="380">
        <v>0.33329999999999999</v>
      </c>
      <c r="R26" s="387" t="s">
        <v>1612</v>
      </c>
    </row>
    <row r="27" spans="1:19" s="292" customFormat="1" ht="60" x14ac:dyDescent="0.25">
      <c r="A27" s="380" t="s">
        <v>1018</v>
      </c>
      <c r="B27" s="380" t="s">
        <v>1021</v>
      </c>
      <c r="C27" s="380" t="s">
        <v>1024</v>
      </c>
      <c r="D27" s="381" t="s">
        <v>78</v>
      </c>
      <c r="E27" s="381" t="s">
        <v>78</v>
      </c>
      <c r="F27" s="382" t="str">
        <f>HYPERLINK("#'Environmental Impact'!A57:Q57","EN7")</f>
        <v>EN7</v>
      </c>
      <c r="G27" s="380" t="s">
        <v>78</v>
      </c>
      <c r="H27" s="384" t="s">
        <v>1015</v>
      </c>
      <c r="I27" s="380" t="s">
        <v>1621</v>
      </c>
      <c r="J27" s="380" t="s">
        <v>1622</v>
      </c>
      <c r="K27" s="381">
        <v>5</v>
      </c>
      <c r="L27" s="380" t="s">
        <v>105</v>
      </c>
      <c r="M27" s="388" t="s">
        <v>33</v>
      </c>
      <c r="N27" s="380" t="s">
        <v>1145</v>
      </c>
      <c r="O27" s="380" t="s">
        <v>1177</v>
      </c>
      <c r="P27" s="380"/>
      <c r="Q27" s="380">
        <v>0.33329999999999999</v>
      </c>
      <c r="R27" s="387" t="s">
        <v>1612</v>
      </c>
    </row>
    <row r="28" spans="1:19" s="292" customFormat="1" ht="60" x14ac:dyDescent="0.25">
      <c r="A28" s="380" t="s">
        <v>1019</v>
      </c>
      <c r="B28" s="380" t="s">
        <v>1022</v>
      </c>
      <c r="C28" s="380" t="s">
        <v>1025</v>
      </c>
      <c r="D28" s="381" t="s">
        <v>78</v>
      </c>
      <c r="E28" s="381" t="s">
        <v>78</v>
      </c>
      <c r="F28" s="382" t="str">
        <f>HYPERLINK("#'Environmental Impact'!A57:Q57","EN7")</f>
        <v>EN7</v>
      </c>
      <c r="G28" s="380" t="s">
        <v>78</v>
      </c>
      <c r="H28" s="384" t="s">
        <v>1016</v>
      </c>
      <c r="I28" s="380" t="s">
        <v>1623</v>
      </c>
      <c r="J28" s="380" t="s">
        <v>1622</v>
      </c>
      <c r="K28" s="381">
        <v>5</v>
      </c>
      <c r="L28" s="380" t="s">
        <v>105</v>
      </c>
      <c r="M28" s="388" t="s">
        <v>33</v>
      </c>
      <c r="N28" s="380" t="s">
        <v>1135</v>
      </c>
      <c r="O28" s="380" t="s">
        <v>1177</v>
      </c>
      <c r="P28" s="380"/>
      <c r="Q28" s="380">
        <v>0.33339999999999997</v>
      </c>
      <c r="R28" s="387" t="s">
        <v>1612</v>
      </c>
    </row>
    <row r="29" spans="1:19" s="292" customFormat="1" ht="60" x14ac:dyDescent="0.25">
      <c r="A29" s="380" t="s">
        <v>1036</v>
      </c>
      <c r="B29" s="380" t="s">
        <v>1037</v>
      </c>
      <c r="C29" s="380" t="s">
        <v>1063</v>
      </c>
      <c r="D29" s="381" t="s">
        <v>78</v>
      </c>
      <c r="E29" s="381" t="s">
        <v>78</v>
      </c>
      <c r="F29" s="382" t="str">
        <f>HYPERLINK("#'Environmental Impact'!A61:Q61","EN8")</f>
        <v>EN8</v>
      </c>
      <c r="G29" s="381" t="s">
        <v>78</v>
      </c>
      <c r="H29" s="384" t="s">
        <v>416</v>
      </c>
      <c r="I29" s="380" t="s">
        <v>1624</v>
      </c>
      <c r="J29" s="380" t="s">
        <v>1625</v>
      </c>
      <c r="K29" s="381">
        <v>5</v>
      </c>
      <c r="L29" s="380" t="s">
        <v>105</v>
      </c>
      <c r="M29" s="380" t="s">
        <v>33</v>
      </c>
      <c r="N29" s="380" t="s">
        <v>1135</v>
      </c>
      <c r="O29" s="380" t="s">
        <v>1177</v>
      </c>
      <c r="P29" s="380"/>
      <c r="Q29" s="380">
        <v>0.33329999999999999</v>
      </c>
      <c r="R29" s="385" t="s">
        <v>1612</v>
      </c>
    </row>
    <row r="30" spans="1:19" s="292" customFormat="1" ht="60" x14ac:dyDescent="0.25">
      <c r="A30" s="380" t="s">
        <v>1289</v>
      </c>
      <c r="B30" s="380" t="s">
        <v>1074</v>
      </c>
      <c r="C30" s="380" t="s">
        <v>1038</v>
      </c>
      <c r="D30" s="381" t="s">
        <v>78</v>
      </c>
      <c r="E30" s="381" t="s">
        <v>78</v>
      </c>
      <c r="F30" s="382" t="str">
        <f>HYPERLINK("#'Environmental Impact'!A61:Q61","EN8")</f>
        <v>EN8</v>
      </c>
      <c r="G30" s="381" t="s">
        <v>78</v>
      </c>
      <c r="H30" s="384" t="s">
        <v>1041</v>
      </c>
      <c r="I30" s="380" t="s">
        <v>1626</v>
      </c>
      <c r="J30" s="380" t="s">
        <v>1627</v>
      </c>
      <c r="K30" s="381">
        <v>5</v>
      </c>
      <c r="L30" s="380" t="s">
        <v>105</v>
      </c>
      <c r="M30" s="380" t="s">
        <v>33</v>
      </c>
      <c r="N30" s="380" t="s">
        <v>1135</v>
      </c>
      <c r="O30" s="380" t="s">
        <v>1177</v>
      </c>
      <c r="P30" s="380"/>
      <c r="Q30" s="380">
        <v>0.33329999999999999</v>
      </c>
      <c r="R30" s="385" t="s">
        <v>1612</v>
      </c>
    </row>
    <row r="31" spans="1:19" s="292" customFormat="1" ht="60" x14ac:dyDescent="0.25">
      <c r="A31" s="389" t="s">
        <v>1290</v>
      </c>
      <c r="B31" s="389" t="s">
        <v>1073</v>
      </c>
      <c r="C31" s="389" t="s">
        <v>1039</v>
      </c>
      <c r="D31" s="390" t="s">
        <v>78</v>
      </c>
      <c r="E31" s="390" t="s">
        <v>78</v>
      </c>
      <c r="F31" s="391" t="str">
        <f>HYPERLINK("#'Environmental Impact'!A61:Q61","EN8")</f>
        <v>EN8</v>
      </c>
      <c r="G31" s="390" t="s">
        <v>78</v>
      </c>
      <c r="H31" s="392" t="s">
        <v>1040</v>
      </c>
      <c r="I31" s="389" t="s">
        <v>1628</v>
      </c>
      <c r="J31" s="389" t="s">
        <v>1627</v>
      </c>
      <c r="K31" s="390">
        <v>5</v>
      </c>
      <c r="L31" s="389" t="s">
        <v>105</v>
      </c>
      <c r="M31" s="389" t="s">
        <v>33</v>
      </c>
      <c r="N31" s="389" t="s">
        <v>1135</v>
      </c>
      <c r="O31" s="389" t="s">
        <v>1177</v>
      </c>
      <c r="P31" s="389"/>
      <c r="Q31" s="389">
        <v>0.33339999999999997</v>
      </c>
      <c r="R31" s="393" t="s">
        <v>1612</v>
      </c>
    </row>
    <row r="32" spans="1:19" s="303" customFormat="1" ht="30" x14ac:dyDescent="0.25">
      <c r="A32" s="293" t="s">
        <v>102</v>
      </c>
      <c r="B32" s="294" t="s">
        <v>103</v>
      </c>
      <c r="C32" s="295" t="s">
        <v>104</v>
      </c>
      <c r="D32" s="296" t="s">
        <v>78</v>
      </c>
      <c r="E32" s="296" t="s">
        <v>78</v>
      </c>
      <c r="F32" s="330" t="str">
        <f>HYPERLINK("#'Economic Viability'!A5:Q5","EC11")</f>
        <v>EC11</v>
      </c>
      <c r="G32" s="297" t="s">
        <v>78</v>
      </c>
      <c r="H32" s="298" t="s">
        <v>94</v>
      </c>
      <c r="I32" s="295" t="s">
        <v>78</v>
      </c>
      <c r="J32" s="299"/>
      <c r="K32" s="300">
        <v>5</v>
      </c>
      <c r="L32" s="301" t="s">
        <v>105</v>
      </c>
      <c r="M32" s="299"/>
      <c r="N32" s="302" t="s">
        <v>1142</v>
      </c>
      <c r="O32" s="302" t="s">
        <v>1176</v>
      </c>
      <c r="P32" s="302"/>
      <c r="Q32" s="302" t="s">
        <v>1494</v>
      </c>
      <c r="R32" s="295"/>
    </row>
    <row r="33" spans="1:18" s="303" customFormat="1" ht="30" x14ac:dyDescent="0.25">
      <c r="A33" s="293" t="s">
        <v>106</v>
      </c>
      <c r="B33" s="294" t="s">
        <v>107</v>
      </c>
      <c r="C33" s="295" t="s">
        <v>108</v>
      </c>
      <c r="D33" s="296" t="s">
        <v>78</v>
      </c>
      <c r="E33" s="296" t="s">
        <v>78</v>
      </c>
      <c r="F33" s="330" t="str">
        <f>HYPERLINK("#'Economic Viability'!A5:Q5","EC11")</f>
        <v>EC11</v>
      </c>
      <c r="G33" s="297" t="s">
        <v>78</v>
      </c>
      <c r="H33" s="298" t="s">
        <v>94</v>
      </c>
      <c r="I33" s="295" t="s">
        <v>78</v>
      </c>
      <c r="J33" s="299"/>
      <c r="K33" s="300">
        <v>5</v>
      </c>
      <c r="L33" s="301" t="s">
        <v>105</v>
      </c>
      <c r="M33" s="299"/>
      <c r="N33" s="302" t="s">
        <v>1142</v>
      </c>
      <c r="O33" s="302" t="s">
        <v>1176</v>
      </c>
      <c r="P33" s="302"/>
      <c r="Q33" s="302" t="s">
        <v>1494</v>
      </c>
      <c r="R33" s="295"/>
    </row>
    <row r="34" spans="1:18" s="303" customFormat="1" ht="30" x14ac:dyDescent="0.25">
      <c r="A34" s="293" t="s">
        <v>109</v>
      </c>
      <c r="B34" s="294" t="s">
        <v>110</v>
      </c>
      <c r="C34" s="295" t="s">
        <v>111</v>
      </c>
      <c r="D34" s="296" t="s">
        <v>78</v>
      </c>
      <c r="E34" s="296" t="s">
        <v>78</v>
      </c>
      <c r="F34" s="330" t="str">
        <f>HYPERLINK("#'Economic Viability'!A5:Q5","EC11")</f>
        <v>EC11</v>
      </c>
      <c r="G34" s="297" t="s">
        <v>78</v>
      </c>
      <c r="H34" s="298" t="s">
        <v>94</v>
      </c>
      <c r="I34" s="295" t="s">
        <v>78</v>
      </c>
      <c r="J34" s="299" t="s">
        <v>1433</v>
      </c>
      <c r="K34" s="300">
        <v>5</v>
      </c>
      <c r="L34" s="301" t="s">
        <v>105</v>
      </c>
      <c r="M34" s="299"/>
      <c r="N34" s="302" t="s">
        <v>1147</v>
      </c>
      <c r="O34" s="302" t="s">
        <v>1176</v>
      </c>
      <c r="P34" s="302"/>
      <c r="Q34" s="302" t="s">
        <v>1494</v>
      </c>
      <c r="R34" s="295"/>
    </row>
    <row r="35" spans="1:18" s="303" customFormat="1" ht="45" x14ac:dyDescent="0.25">
      <c r="A35" s="293" t="s">
        <v>112</v>
      </c>
      <c r="B35" s="294" t="s">
        <v>113</v>
      </c>
      <c r="C35" s="295" t="s">
        <v>114</v>
      </c>
      <c r="D35" s="297" t="s">
        <v>78</v>
      </c>
      <c r="E35" s="297" t="s">
        <v>78</v>
      </c>
      <c r="F35" s="330" t="str">
        <f>HYPERLINK("#'Economic Viability'!A4:Q4","EC2
EC12")</f>
        <v>EC2
EC12</v>
      </c>
      <c r="G35" s="297" t="s">
        <v>78</v>
      </c>
      <c r="H35" s="298" t="s">
        <v>94</v>
      </c>
      <c r="I35" s="295" t="s">
        <v>78</v>
      </c>
      <c r="J35" s="299" t="s">
        <v>1433</v>
      </c>
      <c r="K35" s="300">
        <v>5</v>
      </c>
      <c r="L35" s="301" t="s">
        <v>105</v>
      </c>
      <c r="M35" s="299"/>
      <c r="N35" s="302" t="s">
        <v>1126</v>
      </c>
      <c r="O35" s="302" t="s">
        <v>1176</v>
      </c>
      <c r="P35" s="302"/>
      <c r="Q35" s="302" t="s">
        <v>1494</v>
      </c>
      <c r="R35" s="295"/>
    </row>
    <row r="36" spans="1:18" s="303" customFormat="1" ht="30" x14ac:dyDescent="0.25">
      <c r="A36" s="293" t="s">
        <v>130</v>
      </c>
      <c r="B36" s="294" t="s">
        <v>135</v>
      </c>
      <c r="C36" s="295" t="s">
        <v>136</v>
      </c>
      <c r="D36" s="296" t="s">
        <v>78</v>
      </c>
      <c r="E36" s="296" t="s">
        <v>78</v>
      </c>
      <c r="F36" s="330" t="str">
        <f>HYPERLINK("#'Economic Viability'!A13:Q13","EC121")</f>
        <v>EC121</v>
      </c>
      <c r="G36" s="295" t="s">
        <v>78</v>
      </c>
      <c r="H36" s="298" t="s">
        <v>94</v>
      </c>
      <c r="I36" s="295" t="s">
        <v>78</v>
      </c>
      <c r="J36" s="299"/>
      <c r="K36" s="300">
        <v>5</v>
      </c>
      <c r="L36" s="301" t="s">
        <v>105</v>
      </c>
      <c r="M36" s="299"/>
      <c r="N36" s="302" t="s">
        <v>1144</v>
      </c>
      <c r="O36" s="302" t="s">
        <v>1176</v>
      </c>
      <c r="P36" s="302"/>
      <c r="Q36" s="302" t="s">
        <v>1494</v>
      </c>
      <c r="R36" s="295"/>
    </row>
    <row r="37" spans="1:18" s="303" customFormat="1" ht="30" x14ac:dyDescent="0.25">
      <c r="A37" s="293" t="s">
        <v>132</v>
      </c>
      <c r="B37" s="294" t="s">
        <v>138</v>
      </c>
      <c r="C37" s="295" t="s">
        <v>139</v>
      </c>
      <c r="D37" s="296" t="s">
        <v>78</v>
      </c>
      <c r="E37" s="296" t="s">
        <v>78</v>
      </c>
      <c r="F37" s="330" t="str">
        <f>HYPERLINK("#'Economic Viability'!A13:Q13","EC121")</f>
        <v>EC121</v>
      </c>
      <c r="G37" s="295" t="s">
        <v>78</v>
      </c>
      <c r="H37" s="298" t="s">
        <v>94</v>
      </c>
      <c r="I37" s="295" t="s">
        <v>78</v>
      </c>
      <c r="J37" s="299"/>
      <c r="K37" s="300">
        <v>5</v>
      </c>
      <c r="L37" s="301" t="s">
        <v>105</v>
      </c>
      <c r="M37" s="299"/>
      <c r="N37" s="302" t="s">
        <v>1142</v>
      </c>
      <c r="O37" s="302" t="s">
        <v>1176</v>
      </c>
      <c r="P37" s="302"/>
      <c r="Q37" s="302" t="s">
        <v>1494</v>
      </c>
      <c r="R37" s="295"/>
    </row>
    <row r="38" spans="1:18" s="303" customFormat="1" ht="30" x14ac:dyDescent="0.25">
      <c r="A38" s="293" t="s">
        <v>134</v>
      </c>
      <c r="B38" s="294" t="s">
        <v>140</v>
      </c>
      <c r="C38" s="295" t="s">
        <v>141</v>
      </c>
      <c r="D38" s="296" t="s">
        <v>78</v>
      </c>
      <c r="E38" s="296" t="s">
        <v>78</v>
      </c>
      <c r="F38" s="330" t="str">
        <f>HYPERLINK("#'Economic Viability'!A13:Q13","EC121")</f>
        <v>EC121</v>
      </c>
      <c r="G38" s="295" t="s">
        <v>78</v>
      </c>
      <c r="H38" s="298" t="s">
        <v>94</v>
      </c>
      <c r="I38" s="295" t="s">
        <v>78</v>
      </c>
      <c r="J38" s="299"/>
      <c r="K38" s="300">
        <v>5</v>
      </c>
      <c r="L38" s="301" t="s">
        <v>105</v>
      </c>
      <c r="M38" s="299"/>
      <c r="N38" s="302" t="s">
        <v>1130</v>
      </c>
      <c r="O38" s="302" t="s">
        <v>1176</v>
      </c>
      <c r="P38" s="302"/>
      <c r="Q38" s="302" t="s">
        <v>1494</v>
      </c>
      <c r="R38" s="295"/>
    </row>
    <row r="39" spans="1:18" s="303" customFormat="1" ht="30" x14ac:dyDescent="0.25">
      <c r="A39" s="293" t="s">
        <v>137</v>
      </c>
      <c r="B39" s="294" t="s">
        <v>1124</v>
      </c>
      <c r="C39" s="295" t="s">
        <v>142</v>
      </c>
      <c r="D39" s="296" t="s">
        <v>78</v>
      </c>
      <c r="E39" s="296" t="s">
        <v>78</v>
      </c>
      <c r="F39" s="330" t="str">
        <f>HYPERLINK("#'Economic Viability'!A13:Q13","EC121")</f>
        <v>EC121</v>
      </c>
      <c r="G39" s="295" t="s">
        <v>78</v>
      </c>
      <c r="H39" s="298" t="s">
        <v>94</v>
      </c>
      <c r="I39" s="295" t="s">
        <v>78</v>
      </c>
      <c r="J39" s="299"/>
      <c r="K39" s="300">
        <v>5</v>
      </c>
      <c r="L39" s="301" t="s">
        <v>105</v>
      </c>
      <c r="M39" s="299"/>
      <c r="N39" s="302" t="s">
        <v>1134</v>
      </c>
      <c r="O39" s="302" t="s">
        <v>1176</v>
      </c>
      <c r="P39" s="302"/>
      <c r="Q39" s="302" t="s">
        <v>1494</v>
      </c>
      <c r="R39" s="295"/>
    </row>
    <row r="40" spans="1:18" s="303" customFormat="1" ht="30" x14ac:dyDescent="0.25">
      <c r="A40" s="293" t="s">
        <v>147</v>
      </c>
      <c r="B40" s="294" t="s">
        <v>148</v>
      </c>
      <c r="C40" s="295" t="s">
        <v>149</v>
      </c>
      <c r="D40" s="296" t="s">
        <v>78</v>
      </c>
      <c r="E40" s="296" t="s">
        <v>78</v>
      </c>
      <c r="F40" s="330" t="str">
        <f>HYPERLINK("#'Economic Viability'!A19:Q19","EC3")</f>
        <v>EC3</v>
      </c>
      <c r="G40" s="295" t="s">
        <v>78</v>
      </c>
      <c r="H40" s="298" t="s">
        <v>94</v>
      </c>
      <c r="I40" s="295" t="s">
        <v>78</v>
      </c>
      <c r="J40" s="299"/>
      <c r="K40" s="300">
        <v>5</v>
      </c>
      <c r="L40" s="301" t="s">
        <v>105</v>
      </c>
      <c r="M40" s="299"/>
      <c r="N40" s="302" t="s">
        <v>1126</v>
      </c>
      <c r="O40" s="302" t="s">
        <v>1176</v>
      </c>
      <c r="P40" s="302"/>
      <c r="Q40" s="302"/>
      <c r="R40" s="295"/>
    </row>
    <row r="41" spans="1:18" s="303" customFormat="1" ht="30" x14ac:dyDescent="0.25">
      <c r="A41" s="293" t="s">
        <v>160</v>
      </c>
      <c r="B41" s="294" t="s">
        <v>161</v>
      </c>
      <c r="C41" s="295" t="s">
        <v>1354</v>
      </c>
      <c r="D41" s="296" t="s">
        <v>78</v>
      </c>
      <c r="E41" s="296" t="s">
        <v>78</v>
      </c>
      <c r="F41" s="330" t="str">
        <f>HYPERLINK("#'Economic Viability'!A22:Q22","EC41")</f>
        <v>EC41</v>
      </c>
      <c r="G41" s="296" t="s">
        <v>78</v>
      </c>
      <c r="H41" s="298" t="s">
        <v>94</v>
      </c>
      <c r="I41" s="295" t="s">
        <v>78</v>
      </c>
      <c r="J41" s="304" t="s">
        <v>162</v>
      </c>
      <c r="K41" s="300">
        <v>5</v>
      </c>
      <c r="L41" s="301" t="s">
        <v>105</v>
      </c>
      <c r="M41" s="299"/>
      <c r="N41" s="302" t="s">
        <v>1131</v>
      </c>
      <c r="O41" s="302" t="s">
        <v>1176</v>
      </c>
      <c r="P41" s="302"/>
      <c r="Q41" s="302"/>
      <c r="R41" s="295"/>
    </row>
    <row r="42" spans="1:18" s="303" customFormat="1" x14ac:dyDescent="0.25">
      <c r="A42" s="293" t="s">
        <v>168</v>
      </c>
      <c r="B42" s="294" t="s">
        <v>169</v>
      </c>
      <c r="C42" s="295" t="s">
        <v>170</v>
      </c>
      <c r="D42" s="296" t="s">
        <v>78</v>
      </c>
      <c r="E42" s="296" t="s">
        <v>78</v>
      </c>
      <c r="F42" s="330" t="str">
        <f>HYPERLINK("#'Economic Viability'!A24:Q24","EC411")</f>
        <v>EC411</v>
      </c>
      <c r="G42" s="296" t="s">
        <v>78</v>
      </c>
      <c r="H42" s="298" t="s">
        <v>94</v>
      </c>
      <c r="I42" s="295" t="s">
        <v>78</v>
      </c>
      <c r="J42" s="299"/>
      <c r="K42" s="300">
        <v>5</v>
      </c>
      <c r="L42" s="301" t="s">
        <v>105</v>
      </c>
      <c r="M42" s="299"/>
      <c r="N42" s="302" t="s">
        <v>1131</v>
      </c>
      <c r="O42" s="302" t="s">
        <v>1176</v>
      </c>
      <c r="P42" s="302"/>
      <c r="Q42" s="302" t="s">
        <v>1494</v>
      </c>
      <c r="R42" s="295"/>
    </row>
    <row r="43" spans="1:18" s="303" customFormat="1" ht="30" x14ac:dyDescent="0.25">
      <c r="A43" s="293" t="s">
        <v>171</v>
      </c>
      <c r="B43" s="294" t="s">
        <v>172</v>
      </c>
      <c r="C43" s="295" t="s">
        <v>173</v>
      </c>
      <c r="D43" s="296" t="s">
        <v>78</v>
      </c>
      <c r="E43" s="296" t="s">
        <v>78</v>
      </c>
      <c r="F43" s="330" t="str">
        <f>HYPERLINK("#'Economic Viability'!A24:Q24","EC411")</f>
        <v>EC411</v>
      </c>
      <c r="G43" s="296" t="s">
        <v>78</v>
      </c>
      <c r="H43" s="298" t="s">
        <v>94</v>
      </c>
      <c r="I43" s="295" t="s">
        <v>78</v>
      </c>
      <c r="J43" s="299"/>
      <c r="K43" s="300">
        <v>5</v>
      </c>
      <c r="L43" s="301" t="s">
        <v>105</v>
      </c>
      <c r="M43" s="299"/>
      <c r="N43" s="302" t="s">
        <v>1131</v>
      </c>
      <c r="O43" s="302" t="s">
        <v>1176</v>
      </c>
      <c r="P43" s="302"/>
      <c r="Q43" s="302" t="s">
        <v>1494</v>
      </c>
      <c r="R43" s="295"/>
    </row>
    <row r="44" spans="1:18" s="303" customFormat="1" ht="30" x14ac:dyDescent="0.25">
      <c r="A44" s="293" t="s">
        <v>174</v>
      </c>
      <c r="B44" s="294" t="s">
        <v>175</v>
      </c>
      <c r="C44" s="295" t="s">
        <v>176</v>
      </c>
      <c r="D44" s="296" t="s">
        <v>78</v>
      </c>
      <c r="E44" s="296" t="s">
        <v>78</v>
      </c>
      <c r="F44" s="330" t="str">
        <f>HYPERLINK("#'Economic Viability'!A24:Q24","EC411")</f>
        <v>EC411</v>
      </c>
      <c r="G44" s="296" t="s">
        <v>78</v>
      </c>
      <c r="H44" s="298" t="s">
        <v>94</v>
      </c>
      <c r="I44" s="295" t="s">
        <v>78</v>
      </c>
      <c r="J44" s="299"/>
      <c r="K44" s="300">
        <v>5</v>
      </c>
      <c r="L44" s="301" t="s">
        <v>105</v>
      </c>
      <c r="M44" s="299"/>
      <c r="N44" s="302" t="s">
        <v>1131</v>
      </c>
      <c r="O44" s="302" t="s">
        <v>1176</v>
      </c>
      <c r="P44" s="302"/>
      <c r="Q44" s="302" t="s">
        <v>1494</v>
      </c>
      <c r="R44" s="295"/>
    </row>
    <row r="45" spans="1:18" s="303" customFormat="1" x14ac:dyDescent="0.25">
      <c r="A45" s="293" t="s">
        <v>177</v>
      </c>
      <c r="B45" s="294" t="s">
        <v>178</v>
      </c>
      <c r="C45" s="295" t="s">
        <v>179</v>
      </c>
      <c r="D45" s="296" t="s">
        <v>78</v>
      </c>
      <c r="E45" s="296" t="s">
        <v>78</v>
      </c>
      <c r="F45" s="330" t="str">
        <f>HYPERLINK("#'Economic Viability'!A24:Q24","EC411")</f>
        <v>EC411</v>
      </c>
      <c r="G45" s="296" t="s">
        <v>78</v>
      </c>
      <c r="H45" s="298" t="s">
        <v>94</v>
      </c>
      <c r="I45" s="295" t="s">
        <v>78</v>
      </c>
      <c r="J45" s="299"/>
      <c r="K45" s="300">
        <v>5</v>
      </c>
      <c r="L45" s="301" t="s">
        <v>105</v>
      </c>
      <c r="M45" s="299"/>
      <c r="N45" s="302" t="s">
        <v>1131</v>
      </c>
      <c r="O45" s="302" t="s">
        <v>1176</v>
      </c>
      <c r="P45" s="302"/>
      <c r="Q45" s="302" t="s">
        <v>1494</v>
      </c>
      <c r="R45" s="295"/>
    </row>
    <row r="46" spans="1:18" s="303" customFormat="1" ht="30" x14ac:dyDescent="0.25">
      <c r="A46" s="293" t="s">
        <v>184</v>
      </c>
      <c r="B46" s="294" t="s">
        <v>185</v>
      </c>
      <c r="C46" s="295" t="s">
        <v>186</v>
      </c>
      <c r="D46" s="296" t="s">
        <v>78</v>
      </c>
      <c r="E46" s="296" t="s">
        <v>78</v>
      </c>
      <c r="F46" s="330" t="str">
        <f>HYPERLINK("#'Economic Viability'!A29:Q29","EC42")</f>
        <v>EC42</v>
      </c>
      <c r="G46" s="297" t="s">
        <v>78</v>
      </c>
      <c r="H46" s="298" t="s">
        <v>94</v>
      </c>
      <c r="I46" s="295" t="s">
        <v>78</v>
      </c>
      <c r="J46" s="304" t="s">
        <v>162</v>
      </c>
      <c r="K46" s="300">
        <v>5</v>
      </c>
      <c r="L46" s="301" t="s">
        <v>105</v>
      </c>
      <c r="M46" s="299"/>
      <c r="N46" s="302" t="s">
        <v>1132</v>
      </c>
      <c r="O46" s="302" t="s">
        <v>1176</v>
      </c>
      <c r="P46" s="302"/>
      <c r="Q46" s="302"/>
      <c r="R46" s="295"/>
    </row>
    <row r="47" spans="1:18" s="303" customFormat="1" x14ac:dyDescent="0.25">
      <c r="A47" s="293" t="s">
        <v>192</v>
      </c>
      <c r="B47" s="294" t="s">
        <v>193</v>
      </c>
      <c r="C47" s="295" t="s">
        <v>194</v>
      </c>
      <c r="D47" s="296" t="s">
        <v>78</v>
      </c>
      <c r="E47" s="296" t="s">
        <v>78</v>
      </c>
      <c r="F47" s="330" t="str">
        <f>HYPERLINK("#'Economic Viability'!A31:Q31","EC421")</f>
        <v>EC421</v>
      </c>
      <c r="G47" s="296" t="s">
        <v>78</v>
      </c>
      <c r="H47" s="298" t="s">
        <v>94</v>
      </c>
      <c r="I47" s="296" t="s">
        <v>78</v>
      </c>
      <c r="J47" s="299"/>
      <c r="K47" s="300">
        <v>5</v>
      </c>
      <c r="L47" s="301" t="s">
        <v>105</v>
      </c>
      <c r="M47" s="299"/>
      <c r="N47" s="302" t="s">
        <v>1132</v>
      </c>
      <c r="O47" s="302" t="s">
        <v>1176</v>
      </c>
      <c r="P47" s="302"/>
      <c r="Q47" s="302" t="s">
        <v>1494</v>
      </c>
      <c r="R47" s="295"/>
    </row>
    <row r="48" spans="1:18" s="303" customFormat="1" ht="30" x14ac:dyDescent="0.25">
      <c r="A48" s="293" t="s">
        <v>195</v>
      </c>
      <c r="B48" s="294" t="s">
        <v>196</v>
      </c>
      <c r="C48" s="295" t="s">
        <v>197</v>
      </c>
      <c r="D48" s="296" t="s">
        <v>78</v>
      </c>
      <c r="E48" s="296" t="s">
        <v>78</v>
      </c>
      <c r="F48" s="330" t="str">
        <f>HYPERLINK("#'Economic Viability'!A31:Q31","EC421")</f>
        <v>EC421</v>
      </c>
      <c r="G48" s="296" t="s">
        <v>78</v>
      </c>
      <c r="H48" s="298" t="s">
        <v>94</v>
      </c>
      <c r="I48" s="296" t="s">
        <v>78</v>
      </c>
      <c r="J48" s="299"/>
      <c r="K48" s="300">
        <v>5</v>
      </c>
      <c r="L48" s="301" t="s">
        <v>105</v>
      </c>
      <c r="M48" s="299"/>
      <c r="N48" s="302" t="s">
        <v>1132</v>
      </c>
      <c r="O48" s="302" t="s">
        <v>1176</v>
      </c>
      <c r="P48" s="302"/>
      <c r="Q48" s="302" t="s">
        <v>1494</v>
      </c>
      <c r="R48" s="295"/>
    </row>
    <row r="49" spans="1:18" s="303" customFormat="1" ht="30" x14ac:dyDescent="0.25">
      <c r="A49" s="293" t="s">
        <v>198</v>
      </c>
      <c r="B49" s="294" t="s">
        <v>199</v>
      </c>
      <c r="C49" s="295" t="s">
        <v>176</v>
      </c>
      <c r="D49" s="296" t="s">
        <v>78</v>
      </c>
      <c r="E49" s="296" t="s">
        <v>78</v>
      </c>
      <c r="F49" s="330" t="str">
        <f>HYPERLINK("#'Economic Viability'!A31:Q31","EC421")</f>
        <v>EC421</v>
      </c>
      <c r="G49" s="296" t="s">
        <v>78</v>
      </c>
      <c r="H49" s="298" t="s">
        <v>94</v>
      </c>
      <c r="I49" s="296" t="s">
        <v>78</v>
      </c>
      <c r="J49" s="299"/>
      <c r="K49" s="300">
        <v>5</v>
      </c>
      <c r="L49" s="301" t="s">
        <v>105</v>
      </c>
      <c r="M49" s="299"/>
      <c r="N49" s="302" t="s">
        <v>1132</v>
      </c>
      <c r="O49" s="302" t="s">
        <v>1176</v>
      </c>
      <c r="P49" s="302"/>
      <c r="Q49" s="302" t="s">
        <v>1494</v>
      </c>
      <c r="R49" s="295"/>
    </row>
    <row r="50" spans="1:18" s="303" customFormat="1" ht="30" x14ac:dyDescent="0.25">
      <c r="A50" s="293" t="s">
        <v>200</v>
      </c>
      <c r="B50" s="294" t="s">
        <v>201</v>
      </c>
      <c r="C50" s="295" t="s">
        <v>202</v>
      </c>
      <c r="D50" s="296" t="s">
        <v>78</v>
      </c>
      <c r="E50" s="296" t="s">
        <v>78</v>
      </c>
      <c r="F50" s="330" t="str">
        <f>HYPERLINK("#'Economic Viability'!A31:Q31","EC421")</f>
        <v>EC421</v>
      </c>
      <c r="G50" s="296" t="s">
        <v>78</v>
      </c>
      <c r="H50" s="298" t="s">
        <v>94</v>
      </c>
      <c r="I50" s="296" t="s">
        <v>78</v>
      </c>
      <c r="J50" s="299"/>
      <c r="K50" s="300">
        <v>5</v>
      </c>
      <c r="L50" s="301" t="s">
        <v>105</v>
      </c>
      <c r="M50" s="299"/>
      <c r="N50" s="302" t="s">
        <v>1132</v>
      </c>
      <c r="O50" s="302" t="s">
        <v>1176</v>
      </c>
      <c r="P50" s="302"/>
      <c r="Q50" s="302" t="s">
        <v>1494</v>
      </c>
      <c r="R50" s="295"/>
    </row>
    <row r="51" spans="1:18" s="303" customFormat="1" x14ac:dyDescent="0.25">
      <c r="A51" s="293" t="s">
        <v>203</v>
      </c>
      <c r="B51" s="294" t="s">
        <v>204</v>
      </c>
      <c r="C51" s="295" t="s">
        <v>205</v>
      </c>
      <c r="D51" s="296" t="s">
        <v>78</v>
      </c>
      <c r="E51" s="296" t="s">
        <v>78</v>
      </c>
      <c r="F51" s="330" t="str">
        <f>HYPERLINK("#'Economic Viability'!A31:Q31","EC421")</f>
        <v>EC421</v>
      </c>
      <c r="G51" s="296" t="s">
        <v>78</v>
      </c>
      <c r="H51" s="298" t="s">
        <v>94</v>
      </c>
      <c r="I51" s="296" t="s">
        <v>78</v>
      </c>
      <c r="J51" s="299"/>
      <c r="K51" s="300">
        <v>5</v>
      </c>
      <c r="L51" s="301" t="s">
        <v>105</v>
      </c>
      <c r="M51" s="299"/>
      <c r="N51" s="302" t="s">
        <v>1132</v>
      </c>
      <c r="O51" s="302" t="s">
        <v>1176</v>
      </c>
      <c r="P51" s="302"/>
      <c r="Q51" s="302" t="s">
        <v>1494</v>
      </c>
      <c r="R51" s="295"/>
    </row>
    <row r="52" spans="1:18" s="303" customFormat="1" ht="30" x14ac:dyDescent="0.25">
      <c r="A52" s="293" t="s">
        <v>210</v>
      </c>
      <c r="B52" s="294" t="s">
        <v>211</v>
      </c>
      <c r="C52" s="295" t="s">
        <v>212</v>
      </c>
      <c r="D52" s="296" t="s">
        <v>78</v>
      </c>
      <c r="E52" s="296" t="s">
        <v>78</v>
      </c>
      <c r="F52" s="330" t="str">
        <f>HYPERLINK("#'Economic Viability'!A37:Q37","EC43")</f>
        <v>EC43</v>
      </c>
      <c r="G52" s="297" t="s">
        <v>78</v>
      </c>
      <c r="H52" s="298" t="s">
        <v>94</v>
      </c>
      <c r="I52" s="296" t="s">
        <v>78</v>
      </c>
      <c r="J52" s="304" t="s">
        <v>162</v>
      </c>
      <c r="K52" s="300">
        <v>5</v>
      </c>
      <c r="L52" s="301" t="s">
        <v>105</v>
      </c>
      <c r="M52" s="299"/>
      <c r="N52" s="302" t="s">
        <v>1132</v>
      </c>
      <c r="O52" s="302" t="s">
        <v>1176</v>
      </c>
      <c r="P52" s="302"/>
      <c r="Q52" s="302"/>
      <c r="R52" s="295"/>
    </row>
    <row r="53" spans="1:18" s="303" customFormat="1" ht="31.5" customHeight="1" x14ac:dyDescent="0.25">
      <c r="A53" s="293" t="s">
        <v>218</v>
      </c>
      <c r="B53" s="294" t="s">
        <v>219</v>
      </c>
      <c r="C53" s="295" t="s">
        <v>220</v>
      </c>
      <c r="D53" s="296" t="s">
        <v>78</v>
      </c>
      <c r="E53" s="296" t="s">
        <v>78</v>
      </c>
      <c r="F53" s="330" t="str">
        <f>HYPERLINK("#'Economic Viability'!A39:Q39","EC431")</f>
        <v>EC431</v>
      </c>
      <c r="G53" s="296" t="s">
        <v>78</v>
      </c>
      <c r="H53" s="298" t="s">
        <v>94</v>
      </c>
      <c r="I53" s="296" t="s">
        <v>78</v>
      </c>
      <c r="J53" s="299"/>
      <c r="K53" s="300">
        <v>5</v>
      </c>
      <c r="L53" s="301" t="s">
        <v>105</v>
      </c>
      <c r="M53" s="299"/>
      <c r="N53" s="302" t="s">
        <v>1132</v>
      </c>
      <c r="O53" s="302" t="s">
        <v>1176</v>
      </c>
      <c r="P53" s="302"/>
      <c r="Q53" s="302" t="s">
        <v>1494</v>
      </c>
      <c r="R53" s="295"/>
    </row>
    <row r="54" spans="1:18" s="303" customFormat="1" x14ac:dyDescent="0.25">
      <c r="A54" s="293" t="s">
        <v>221</v>
      </c>
      <c r="B54" s="294" t="s">
        <v>222</v>
      </c>
      <c r="C54" s="295" t="s">
        <v>223</v>
      </c>
      <c r="D54" s="296" t="s">
        <v>78</v>
      </c>
      <c r="E54" s="296" t="s">
        <v>78</v>
      </c>
      <c r="F54" s="330" t="str">
        <f>HYPERLINK("#'Economic Viability'!A39:Q39","EC431")</f>
        <v>EC431</v>
      </c>
      <c r="G54" s="296" t="s">
        <v>78</v>
      </c>
      <c r="H54" s="298" t="s">
        <v>94</v>
      </c>
      <c r="I54" s="296" t="s">
        <v>78</v>
      </c>
      <c r="J54" s="299"/>
      <c r="K54" s="300">
        <v>5</v>
      </c>
      <c r="L54" s="301" t="s">
        <v>105</v>
      </c>
      <c r="M54" s="299"/>
      <c r="N54" s="302" t="s">
        <v>1132</v>
      </c>
      <c r="O54" s="302" t="s">
        <v>1176</v>
      </c>
      <c r="P54" s="302"/>
      <c r="Q54" s="302" t="s">
        <v>1494</v>
      </c>
      <c r="R54" s="295"/>
    </row>
    <row r="55" spans="1:18" s="303" customFormat="1" ht="30" x14ac:dyDescent="0.25">
      <c r="A55" s="293" t="s">
        <v>229</v>
      </c>
      <c r="B55" s="294" t="s">
        <v>230</v>
      </c>
      <c r="C55" s="295" t="s">
        <v>231</v>
      </c>
      <c r="D55" s="296" t="s">
        <v>78</v>
      </c>
      <c r="E55" s="296" t="s">
        <v>78</v>
      </c>
      <c r="F55" s="330" t="str">
        <f>HYPERLINK("#'Economic Viability'!A42:Q42","EC44")</f>
        <v>EC44</v>
      </c>
      <c r="G55" s="297" t="s">
        <v>78</v>
      </c>
      <c r="H55" s="298" t="s">
        <v>94</v>
      </c>
      <c r="I55" s="296" t="s">
        <v>78</v>
      </c>
      <c r="J55" s="299"/>
      <c r="K55" s="300">
        <v>5</v>
      </c>
      <c r="L55" s="301" t="s">
        <v>105</v>
      </c>
      <c r="M55" s="299"/>
      <c r="N55" s="302" t="s">
        <v>1132</v>
      </c>
      <c r="O55" s="302" t="s">
        <v>1176</v>
      </c>
      <c r="P55" s="302"/>
      <c r="Q55" s="302"/>
      <c r="R55" s="295"/>
    </row>
    <row r="56" spans="1:18" s="303" customFormat="1" ht="38.1" customHeight="1" x14ac:dyDescent="0.25">
      <c r="A56" s="293" t="s">
        <v>237</v>
      </c>
      <c r="B56" s="294" t="s">
        <v>238</v>
      </c>
      <c r="C56" s="295" t="s">
        <v>239</v>
      </c>
      <c r="D56" s="296" t="s">
        <v>78</v>
      </c>
      <c r="E56" s="296" t="s">
        <v>78</v>
      </c>
      <c r="F56" s="330" t="str">
        <f>HYPERLINK("#'Economic Viability'!A44:Q44","EC441")</f>
        <v>EC441</v>
      </c>
      <c r="G56" s="296" t="s">
        <v>78</v>
      </c>
      <c r="H56" s="298" t="s">
        <v>94</v>
      </c>
      <c r="I56" s="296" t="s">
        <v>78</v>
      </c>
      <c r="J56" s="299"/>
      <c r="K56" s="300">
        <v>5</v>
      </c>
      <c r="L56" s="301" t="s">
        <v>105</v>
      </c>
      <c r="M56" s="299"/>
      <c r="N56" s="302" t="s">
        <v>1132</v>
      </c>
      <c r="O56" s="302" t="s">
        <v>1176</v>
      </c>
      <c r="P56" s="302"/>
      <c r="Q56" s="302" t="s">
        <v>1494</v>
      </c>
      <c r="R56" s="295"/>
    </row>
    <row r="57" spans="1:18" s="303" customFormat="1" ht="30" x14ac:dyDescent="0.25">
      <c r="A57" s="293" t="s">
        <v>240</v>
      </c>
      <c r="B57" s="294" t="s">
        <v>241</v>
      </c>
      <c r="C57" s="295" t="s">
        <v>1629</v>
      </c>
      <c r="D57" s="296" t="s">
        <v>78</v>
      </c>
      <c r="E57" s="296" t="s">
        <v>78</v>
      </c>
      <c r="F57" s="330" t="str">
        <f>HYPERLINK("#'Economic Viability'!A44:Q44","EC441")</f>
        <v>EC441</v>
      </c>
      <c r="G57" s="296" t="s">
        <v>78</v>
      </c>
      <c r="H57" s="298" t="s">
        <v>94</v>
      </c>
      <c r="I57" s="296" t="s">
        <v>78</v>
      </c>
      <c r="J57" s="299"/>
      <c r="K57" s="300">
        <v>5</v>
      </c>
      <c r="L57" s="301" t="s">
        <v>105</v>
      </c>
      <c r="M57" s="299"/>
      <c r="N57" s="302" t="s">
        <v>1132</v>
      </c>
      <c r="O57" s="302" t="s">
        <v>1176</v>
      </c>
      <c r="P57" s="302"/>
      <c r="Q57" s="302" t="s">
        <v>1494</v>
      </c>
      <c r="R57" s="295"/>
    </row>
    <row r="58" spans="1:18" s="303" customFormat="1" x14ac:dyDescent="0.25">
      <c r="A58" s="293" t="s">
        <v>242</v>
      </c>
      <c r="B58" s="294" t="s">
        <v>243</v>
      </c>
      <c r="C58" s="295" t="s">
        <v>244</v>
      </c>
      <c r="D58" s="296" t="s">
        <v>78</v>
      </c>
      <c r="E58" s="296" t="s">
        <v>78</v>
      </c>
      <c r="F58" s="330" t="str">
        <f>HYPERLINK("#'Economic Viability'!A44:Q44","EC441")</f>
        <v>EC441</v>
      </c>
      <c r="G58" s="296" t="s">
        <v>78</v>
      </c>
      <c r="H58" s="298" t="s">
        <v>94</v>
      </c>
      <c r="I58" s="296" t="s">
        <v>78</v>
      </c>
      <c r="J58" s="299"/>
      <c r="K58" s="300">
        <v>5</v>
      </c>
      <c r="L58" s="301" t="s">
        <v>105</v>
      </c>
      <c r="M58" s="299"/>
      <c r="N58" s="302" t="s">
        <v>1132</v>
      </c>
      <c r="O58" s="302" t="s">
        <v>1176</v>
      </c>
      <c r="P58" s="302"/>
      <c r="Q58" s="302" t="s">
        <v>1494</v>
      </c>
      <c r="R58" s="295"/>
    </row>
    <row r="59" spans="1:18" s="303" customFormat="1" ht="30" x14ac:dyDescent="0.25">
      <c r="A59" s="293" t="s">
        <v>249</v>
      </c>
      <c r="B59" s="294" t="s">
        <v>250</v>
      </c>
      <c r="C59" s="295" t="s">
        <v>1125</v>
      </c>
      <c r="D59" s="296" t="s">
        <v>78</v>
      </c>
      <c r="E59" s="296" t="s">
        <v>78</v>
      </c>
      <c r="F59" s="330" t="str">
        <f>HYPERLINK("#'Economic Viability'!A48:Q48","EC45")</f>
        <v>EC45</v>
      </c>
      <c r="G59" s="296" t="s">
        <v>78</v>
      </c>
      <c r="H59" s="298" t="s">
        <v>94</v>
      </c>
      <c r="I59" s="296" t="s">
        <v>78</v>
      </c>
      <c r="J59" s="299"/>
      <c r="K59" s="300">
        <v>5</v>
      </c>
      <c r="L59" s="301" t="s">
        <v>105</v>
      </c>
      <c r="M59" s="299"/>
      <c r="N59" s="302" t="s">
        <v>1132</v>
      </c>
      <c r="O59" s="302" t="s">
        <v>1176</v>
      </c>
      <c r="P59" s="302"/>
      <c r="Q59" s="302"/>
      <c r="R59" s="295"/>
    </row>
    <row r="60" spans="1:18" s="303" customFormat="1" ht="27.6" customHeight="1" x14ac:dyDescent="0.25">
      <c r="A60" s="293" t="s">
        <v>256</v>
      </c>
      <c r="B60" s="294" t="s">
        <v>257</v>
      </c>
      <c r="C60" s="295" t="s">
        <v>258</v>
      </c>
      <c r="D60" s="296" t="s">
        <v>78</v>
      </c>
      <c r="E60" s="296" t="s">
        <v>78</v>
      </c>
      <c r="F60" s="330" t="str">
        <f>HYPERLINK("#'Economic Viability'!A50:Q50","EC451")</f>
        <v>EC451</v>
      </c>
      <c r="G60" s="296" t="s">
        <v>78</v>
      </c>
      <c r="H60" s="298" t="s">
        <v>94</v>
      </c>
      <c r="I60" s="296" t="s">
        <v>78</v>
      </c>
      <c r="J60" s="299"/>
      <c r="K60" s="300">
        <v>5</v>
      </c>
      <c r="L60" s="301" t="s">
        <v>105</v>
      </c>
      <c r="M60" s="299"/>
      <c r="N60" s="302" t="s">
        <v>1132</v>
      </c>
      <c r="O60" s="302" t="s">
        <v>1176</v>
      </c>
      <c r="P60" s="302"/>
      <c r="Q60" s="302" t="s">
        <v>1494</v>
      </c>
      <c r="R60" s="295"/>
    </row>
    <row r="61" spans="1:18" s="303" customFormat="1" x14ac:dyDescent="0.25">
      <c r="A61" s="293" t="s">
        <v>259</v>
      </c>
      <c r="B61" s="294" t="s">
        <v>260</v>
      </c>
      <c r="C61" s="295" t="s">
        <v>261</v>
      </c>
      <c r="D61" s="296" t="s">
        <v>78</v>
      </c>
      <c r="E61" s="296" t="s">
        <v>78</v>
      </c>
      <c r="F61" s="330" t="str">
        <f>HYPERLINK("#'Economic Viability'!A50:Q50","EC451")</f>
        <v>EC451</v>
      </c>
      <c r="G61" s="296" t="s">
        <v>78</v>
      </c>
      <c r="H61" s="298" t="s">
        <v>94</v>
      </c>
      <c r="I61" s="296" t="s">
        <v>78</v>
      </c>
      <c r="J61" s="299"/>
      <c r="K61" s="300">
        <v>5</v>
      </c>
      <c r="L61" s="301" t="s">
        <v>105</v>
      </c>
      <c r="M61" s="299"/>
      <c r="N61" s="302" t="s">
        <v>1132</v>
      </c>
      <c r="O61" s="302" t="s">
        <v>1176</v>
      </c>
      <c r="P61" s="302"/>
      <c r="Q61" s="302" t="s">
        <v>1494</v>
      </c>
      <c r="R61" s="295"/>
    </row>
    <row r="62" spans="1:18" s="303" customFormat="1" x14ac:dyDescent="0.25">
      <c r="A62" s="293" t="s">
        <v>262</v>
      </c>
      <c r="B62" s="294" t="s">
        <v>263</v>
      </c>
      <c r="C62" s="295" t="s">
        <v>264</v>
      </c>
      <c r="D62" s="296" t="s">
        <v>78</v>
      </c>
      <c r="E62" s="296" t="s">
        <v>78</v>
      </c>
      <c r="F62" s="330" t="str">
        <f>HYPERLINK("#'Economic Viability'!A50:Q50","EC451")</f>
        <v>EC451</v>
      </c>
      <c r="G62" s="296" t="s">
        <v>78</v>
      </c>
      <c r="H62" s="298" t="s">
        <v>94</v>
      </c>
      <c r="I62" s="296" t="s">
        <v>78</v>
      </c>
      <c r="J62" s="299"/>
      <c r="K62" s="300">
        <v>5</v>
      </c>
      <c r="L62" s="301" t="s">
        <v>105</v>
      </c>
      <c r="M62" s="299"/>
      <c r="N62" s="302" t="s">
        <v>1132</v>
      </c>
      <c r="O62" s="302" t="s">
        <v>1176</v>
      </c>
      <c r="P62" s="302"/>
      <c r="Q62" s="302" t="s">
        <v>1494</v>
      </c>
      <c r="R62" s="295"/>
    </row>
    <row r="63" spans="1:18" s="303" customFormat="1" x14ac:dyDescent="0.25">
      <c r="A63" s="293" t="s">
        <v>265</v>
      </c>
      <c r="B63" s="294" t="s">
        <v>266</v>
      </c>
      <c r="C63" s="295" t="s">
        <v>267</v>
      </c>
      <c r="D63" s="296" t="s">
        <v>78</v>
      </c>
      <c r="E63" s="296" t="s">
        <v>78</v>
      </c>
      <c r="F63" s="330" t="str">
        <f>HYPERLINK("#'Economic Viability'!A50:Q50","EC451")</f>
        <v>EC451</v>
      </c>
      <c r="G63" s="296" t="s">
        <v>78</v>
      </c>
      <c r="H63" s="298" t="s">
        <v>94</v>
      </c>
      <c r="I63" s="296" t="s">
        <v>78</v>
      </c>
      <c r="J63" s="299"/>
      <c r="K63" s="300">
        <v>5</v>
      </c>
      <c r="L63" s="301" t="s">
        <v>105</v>
      </c>
      <c r="M63" s="299"/>
      <c r="N63" s="302" t="s">
        <v>1132</v>
      </c>
      <c r="O63" s="302" t="s">
        <v>1176</v>
      </c>
      <c r="P63" s="302"/>
      <c r="Q63" s="302" t="s">
        <v>1494</v>
      </c>
      <c r="R63" s="295"/>
    </row>
    <row r="64" spans="1:18" s="303" customFormat="1" x14ac:dyDescent="0.25">
      <c r="A64" s="293" t="s">
        <v>271</v>
      </c>
      <c r="B64" s="294" t="s">
        <v>272</v>
      </c>
      <c r="C64" s="295" t="s">
        <v>273</v>
      </c>
      <c r="D64" s="295" t="s">
        <v>78</v>
      </c>
      <c r="E64" s="296" t="s">
        <v>78</v>
      </c>
      <c r="F64" s="330" t="str">
        <f>HYPERLINK("#'Economic Viability'!A55:Q55","EC46")</f>
        <v>EC46</v>
      </c>
      <c r="G64" s="296" t="s">
        <v>78</v>
      </c>
      <c r="H64" s="298" t="s">
        <v>94</v>
      </c>
      <c r="I64" s="296" t="s">
        <v>78</v>
      </c>
      <c r="J64" s="299" t="s">
        <v>162</v>
      </c>
      <c r="K64" s="300">
        <v>5</v>
      </c>
      <c r="L64" s="301" t="s">
        <v>105</v>
      </c>
      <c r="M64" s="299"/>
      <c r="N64" s="302" t="s">
        <v>1132</v>
      </c>
      <c r="O64" s="302" t="s">
        <v>1176</v>
      </c>
      <c r="P64" s="302"/>
      <c r="Q64" s="302"/>
      <c r="R64" s="295"/>
    </row>
    <row r="65" spans="1:18" s="303" customFormat="1" ht="30" x14ac:dyDescent="0.25">
      <c r="A65" s="293" t="s">
        <v>278</v>
      </c>
      <c r="B65" s="294" t="s">
        <v>279</v>
      </c>
      <c r="C65" s="295" t="s">
        <v>280</v>
      </c>
      <c r="D65" s="296" t="s">
        <v>78</v>
      </c>
      <c r="E65" s="296" t="s">
        <v>78</v>
      </c>
      <c r="F65" s="330" t="s">
        <v>274</v>
      </c>
      <c r="G65" s="296" t="s">
        <v>78</v>
      </c>
      <c r="H65" s="298" t="s">
        <v>94</v>
      </c>
      <c r="I65" s="296" t="s">
        <v>78</v>
      </c>
      <c r="J65" s="299"/>
      <c r="K65" s="300">
        <v>5</v>
      </c>
      <c r="L65" s="301" t="s">
        <v>105</v>
      </c>
      <c r="M65" s="299"/>
      <c r="N65" s="302" t="s">
        <v>1132</v>
      </c>
      <c r="O65" s="302" t="s">
        <v>1176</v>
      </c>
      <c r="P65" s="302"/>
      <c r="Q65" s="302" t="s">
        <v>1494</v>
      </c>
      <c r="R65" s="295"/>
    </row>
    <row r="66" spans="1:18" s="303" customFormat="1" ht="30" x14ac:dyDescent="0.25">
      <c r="A66" s="293" t="s">
        <v>281</v>
      </c>
      <c r="B66" s="294" t="s">
        <v>282</v>
      </c>
      <c r="C66" s="295" t="s">
        <v>283</v>
      </c>
      <c r="D66" s="296" t="s">
        <v>78</v>
      </c>
      <c r="E66" s="296" t="s">
        <v>78</v>
      </c>
      <c r="F66" s="330" t="s">
        <v>274</v>
      </c>
      <c r="G66" s="296" t="s">
        <v>78</v>
      </c>
      <c r="H66" s="298" t="s">
        <v>94</v>
      </c>
      <c r="I66" s="296" t="s">
        <v>78</v>
      </c>
      <c r="J66" s="299"/>
      <c r="K66" s="300">
        <v>5</v>
      </c>
      <c r="L66" s="301" t="s">
        <v>105</v>
      </c>
      <c r="M66" s="299"/>
      <c r="N66" s="302" t="s">
        <v>1132</v>
      </c>
      <c r="O66" s="302" t="s">
        <v>1176</v>
      </c>
      <c r="P66" s="302"/>
      <c r="Q66" s="302" t="s">
        <v>1494</v>
      </c>
      <c r="R66" s="295"/>
    </row>
    <row r="67" spans="1:18" s="303" customFormat="1" ht="30" x14ac:dyDescent="0.25">
      <c r="A67" s="293" t="s">
        <v>284</v>
      </c>
      <c r="B67" s="294" t="s">
        <v>285</v>
      </c>
      <c r="C67" s="295" t="s">
        <v>286</v>
      </c>
      <c r="D67" s="296" t="s">
        <v>78</v>
      </c>
      <c r="E67" s="296" t="s">
        <v>78</v>
      </c>
      <c r="F67" s="330" t="s">
        <v>274</v>
      </c>
      <c r="G67" s="296" t="s">
        <v>78</v>
      </c>
      <c r="H67" s="298" t="s">
        <v>94</v>
      </c>
      <c r="I67" s="296" t="s">
        <v>78</v>
      </c>
      <c r="J67" s="299"/>
      <c r="K67" s="300">
        <v>5</v>
      </c>
      <c r="L67" s="301" t="s">
        <v>105</v>
      </c>
      <c r="M67" s="299"/>
      <c r="N67" s="302" t="s">
        <v>1132</v>
      </c>
      <c r="O67" s="302" t="s">
        <v>1176</v>
      </c>
      <c r="P67" s="302"/>
      <c r="Q67" s="302" t="s">
        <v>1494</v>
      </c>
      <c r="R67" s="295"/>
    </row>
    <row r="68" spans="1:18" s="303" customFormat="1" ht="30" x14ac:dyDescent="0.25">
      <c r="A68" s="293" t="s">
        <v>287</v>
      </c>
      <c r="B68" s="294" t="s">
        <v>288</v>
      </c>
      <c r="C68" s="295" t="s">
        <v>289</v>
      </c>
      <c r="D68" s="296" t="s">
        <v>78</v>
      </c>
      <c r="E68" s="296" t="s">
        <v>78</v>
      </c>
      <c r="F68" s="330" t="s">
        <v>274</v>
      </c>
      <c r="G68" s="296" t="s">
        <v>78</v>
      </c>
      <c r="H68" s="298" t="s">
        <v>94</v>
      </c>
      <c r="I68" s="296" t="s">
        <v>78</v>
      </c>
      <c r="J68" s="299"/>
      <c r="K68" s="300">
        <v>5</v>
      </c>
      <c r="L68" s="301" t="s">
        <v>105</v>
      </c>
      <c r="M68" s="299"/>
      <c r="N68" s="302" t="s">
        <v>1132</v>
      </c>
      <c r="O68" s="302" t="s">
        <v>1176</v>
      </c>
      <c r="P68" s="302"/>
      <c r="Q68" s="302" t="s">
        <v>1494</v>
      </c>
      <c r="R68" s="295"/>
    </row>
    <row r="69" spans="1:18" s="303" customFormat="1" ht="30" x14ac:dyDescent="0.25">
      <c r="A69" s="293" t="s">
        <v>290</v>
      </c>
      <c r="B69" s="294" t="s">
        <v>291</v>
      </c>
      <c r="C69" s="295" t="s">
        <v>292</v>
      </c>
      <c r="D69" s="296" t="s">
        <v>78</v>
      </c>
      <c r="E69" s="296" t="s">
        <v>78</v>
      </c>
      <c r="F69" s="330" t="s">
        <v>274</v>
      </c>
      <c r="G69" s="296" t="s">
        <v>78</v>
      </c>
      <c r="H69" s="298" t="s">
        <v>94</v>
      </c>
      <c r="I69" s="296" t="s">
        <v>78</v>
      </c>
      <c r="J69" s="299"/>
      <c r="K69" s="300">
        <v>5</v>
      </c>
      <c r="L69" s="301" t="s">
        <v>105</v>
      </c>
      <c r="M69" s="299"/>
      <c r="N69" s="302" t="s">
        <v>1132</v>
      </c>
      <c r="O69" s="302" t="s">
        <v>1176</v>
      </c>
      <c r="P69" s="302"/>
      <c r="Q69" s="302" t="s">
        <v>1494</v>
      </c>
      <c r="R69" s="295"/>
    </row>
    <row r="70" spans="1:18" s="303" customFormat="1" ht="45" x14ac:dyDescent="0.25">
      <c r="A70" s="293" t="s">
        <v>293</v>
      </c>
      <c r="B70" s="294" t="s">
        <v>294</v>
      </c>
      <c r="C70" s="295" t="s">
        <v>295</v>
      </c>
      <c r="D70" s="296" t="s">
        <v>78</v>
      </c>
      <c r="E70" s="296" t="s">
        <v>78</v>
      </c>
      <c r="F70" s="330" t="s">
        <v>274</v>
      </c>
      <c r="G70" s="296" t="s">
        <v>78</v>
      </c>
      <c r="H70" s="298" t="s">
        <v>94</v>
      </c>
      <c r="I70" s="296" t="s">
        <v>78</v>
      </c>
      <c r="J70" s="299"/>
      <c r="K70" s="300">
        <v>5</v>
      </c>
      <c r="L70" s="301" t="s">
        <v>105</v>
      </c>
      <c r="M70" s="299"/>
      <c r="N70" s="302" t="s">
        <v>1132</v>
      </c>
      <c r="O70" s="302" t="s">
        <v>1176</v>
      </c>
      <c r="P70" s="302"/>
      <c r="Q70" s="302" t="s">
        <v>1494</v>
      </c>
      <c r="R70" s="295"/>
    </row>
    <row r="71" spans="1:18" s="303" customFormat="1" ht="60" x14ac:dyDescent="0.25">
      <c r="A71" s="293" t="s">
        <v>300</v>
      </c>
      <c r="B71" s="294" t="s">
        <v>131</v>
      </c>
      <c r="C71" s="295" t="s">
        <v>301</v>
      </c>
      <c r="D71" s="296" t="s">
        <v>78</v>
      </c>
      <c r="E71" s="296" t="s">
        <v>78</v>
      </c>
      <c r="F71" s="330" t="str">
        <f>HYPERLINK("#'Economic Viability'!A64:Q64","EC47")</f>
        <v>EC47</v>
      </c>
      <c r="G71" s="296" t="s">
        <v>78</v>
      </c>
      <c r="H71" s="298" t="s">
        <v>94</v>
      </c>
      <c r="I71" s="296" t="s">
        <v>78</v>
      </c>
      <c r="J71" s="299"/>
      <c r="K71" s="300">
        <v>5</v>
      </c>
      <c r="L71" s="301" t="s">
        <v>105</v>
      </c>
      <c r="M71" s="299"/>
      <c r="N71" s="302" t="s">
        <v>1126</v>
      </c>
      <c r="O71" s="302" t="s">
        <v>1176</v>
      </c>
      <c r="P71" s="302"/>
      <c r="Q71" s="302" t="s">
        <v>1494</v>
      </c>
      <c r="R71" s="295"/>
    </row>
    <row r="72" spans="1:18" s="303" customFormat="1" ht="75" x14ac:dyDescent="0.25">
      <c r="A72" s="293" t="s">
        <v>302</v>
      </c>
      <c r="B72" s="294" t="s">
        <v>133</v>
      </c>
      <c r="C72" s="295" t="s">
        <v>303</v>
      </c>
      <c r="D72" s="296" t="s">
        <v>78</v>
      </c>
      <c r="E72" s="296" t="s">
        <v>78</v>
      </c>
      <c r="F72" s="330" t="str">
        <f>HYPERLINK("#'Economic Viability'!A64:Q64","EC47")</f>
        <v>EC47</v>
      </c>
      <c r="G72" s="296" t="s">
        <v>78</v>
      </c>
      <c r="H72" s="298" t="s">
        <v>94</v>
      </c>
      <c r="I72" s="296" t="s">
        <v>78</v>
      </c>
      <c r="J72" s="299"/>
      <c r="K72" s="300">
        <v>5</v>
      </c>
      <c r="L72" s="301" t="s">
        <v>105</v>
      </c>
      <c r="M72" s="299"/>
      <c r="N72" s="302" t="s">
        <v>1126</v>
      </c>
      <c r="O72" s="302" t="s">
        <v>1176</v>
      </c>
      <c r="P72" s="302"/>
      <c r="Q72" s="302" t="s">
        <v>1494</v>
      </c>
      <c r="R72" s="295"/>
    </row>
    <row r="73" spans="1:18" s="303" customFormat="1" ht="30" x14ac:dyDescent="0.25">
      <c r="A73" s="293" t="s">
        <v>1165</v>
      </c>
      <c r="B73" s="294" t="s">
        <v>1163</v>
      </c>
      <c r="C73" s="295" t="s">
        <v>1168</v>
      </c>
      <c r="D73" s="296" t="s">
        <v>78</v>
      </c>
      <c r="E73" s="296" t="s">
        <v>78</v>
      </c>
      <c r="F73" s="330" t="str">
        <f>HYPERLINK("#'Economic Viability'!A67:Q67","EC5")</f>
        <v>EC5</v>
      </c>
      <c r="G73" s="296" t="s">
        <v>78</v>
      </c>
      <c r="H73" s="298" t="s">
        <v>1169</v>
      </c>
      <c r="I73" s="296" t="s">
        <v>78</v>
      </c>
      <c r="J73" s="305"/>
      <c r="K73" s="300">
        <v>5</v>
      </c>
      <c r="L73" s="301" t="s">
        <v>105</v>
      </c>
      <c r="M73" s="306" t="s">
        <v>1162</v>
      </c>
      <c r="N73" s="302" t="s">
        <v>1126</v>
      </c>
      <c r="O73" s="302" t="s">
        <v>1176</v>
      </c>
      <c r="P73" s="302"/>
      <c r="Q73" s="302"/>
      <c r="R73" s="295"/>
    </row>
    <row r="74" spans="1:18" s="313" customFormat="1" ht="30" x14ac:dyDescent="0.25">
      <c r="A74" s="307" t="s">
        <v>607</v>
      </c>
      <c r="B74" s="308" t="s">
        <v>608</v>
      </c>
      <c r="C74" s="308" t="s">
        <v>609</v>
      </c>
      <c r="D74" s="308" t="s">
        <v>78</v>
      </c>
      <c r="E74" s="309" t="s">
        <v>78</v>
      </c>
      <c r="F74" s="331" t="str">
        <f>HYPERLINK("#'Circular Efforts'!A4:Q4","C11
C12")</f>
        <v>C11
C12</v>
      </c>
      <c r="G74" s="308" t="s">
        <v>78</v>
      </c>
      <c r="H74" s="310" t="s">
        <v>65</v>
      </c>
      <c r="I74" s="309" t="s">
        <v>78</v>
      </c>
      <c r="J74" s="309"/>
      <c r="K74" s="309">
        <v>5</v>
      </c>
      <c r="L74" s="308" t="s">
        <v>105</v>
      </c>
      <c r="M74" s="311"/>
      <c r="N74" s="311" t="s">
        <v>1134</v>
      </c>
      <c r="O74" s="311" t="s">
        <v>1176</v>
      </c>
      <c r="P74" s="312">
        <v>5000</v>
      </c>
      <c r="Q74" s="312"/>
      <c r="R74" s="308"/>
    </row>
    <row r="75" spans="1:18" s="313" customFormat="1" x14ac:dyDescent="0.25">
      <c r="A75" s="307" t="s">
        <v>610</v>
      </c>
      <c r="B75" s="308" t="s">
        <v>611</v>
      </c>
      <c r="C75" s="308" t="s">
        <v>612</v>
      </c>
      <c r="D75" s="308" t="s">
        <v>78</v>
      </c>
      <c r="E75" s="309" t="s">
        <v>78</v>
      </c>
      <c r="F75" s="331" t="str">
        <f>HYPERLINK("#'Circular Efforts'!A5:Q5","C12")</f>
        <v>C12</v>
      </c>
      <c r="G75" s="308" t="s">
        <v>78</v>
      </c>
      <c r="H75" s="310" t="s">
        <v>65</v>
      </c>
      <c r="I75" s="309" t="s">
        <v>78</v>
      </c>
      <c r="J75" s="309" t="s">
        <v>598</v>
      </c>
      <c r="K75" s="309">
        <v>5</v>
      </c>
      <c r="L75" s="308" t="s">
        <v>105</v>
      </c>
      <c r="M75" s="311"/>
      <c r="N75" s="311" t="s">
        <v>1132</v>
      </c>
      <c r="O75" s="311" t="s">
        <v>1176</v>
      </c>
      <c r="P75" s="312">
        <v>1200</v>
      </c>
      <c r="Q75" s="312"/>
      <c r="R75" s="308"/>
    </row>
    <row r="76" spans="1:18" s="313" customFormat="1" ht="30" x14ac:dyDescent="0.25">
      <c r="A76" s="307" t="s">
        <v>613</v>
      </c>
      <c r="B76" s="308" t="s">
        <v>1113</v>
      </c>
      <c r="C76" s="308" t="s">
        <v>614</v>
      </c>
      <c r="D76" s="308" t="s">
        <v>78</v>
      </c>
      <c r="E76" s="309" t="s">
        <v>78</v>
      </c>
      <c r="F76" s="331" t="str">
        <f>HYPERLINK("#'Circular Efforts'!A4:Q4","C11")</f>
        <v>C11</v>
      </c>
      <c r="G76" s="308" t="s">
        <v>78</v>
      </c>
      <c r="H76" s="310" t="s">
        <v>329</v>
      </c>
      <c r="I76" s="309" t="s">
        <v>78</v>
      </c>
      <c r="J76" s="309" t="s">
        <v>598</v>
      </c>
      <c r="K76" s="309">
        <v>5</v>
      </c>
      <c r="L76" s="308" t="s">
        <v>105</v>
      </c>
      <c r="M76" s="311"/>
      <c r="N76" s="311" t="s">
        <v>1132</v>
      </c>
      <c r="O76" s="311" t="s">
        <v>1176</v>
      </c>
      <c r="P76" s="312">
        <v>200</v>
      </c>
      <c r="Q76" s="312"/>
      <c r="R76" s="308"/>
    </row>
    <row r="77" spans="1:18" s="313" customFormat="1" x14ac:dyDescent="0.25">
      <c r="A77" s="307" t="s">
        <v>615</v>
      </c>
      <c r="B77" s="308" t="s">
        <v>1208</v>
      </c>
      <c r="C77" s="308" t="s">
        <v>616</v>
      </c>
      <c r="D77" s="308" t="s">
        <v>78</v>
      </c>
      <c r="E77" s="309" t="s">
        <v>78</v>
      </c>
      <c r="F77" s="331" t="str">
        <f>HYPERLINK("#'Circular Efforts'!A4:Q4","C11")</f>
        <v>C11</v>
      </c>
      <c r="G77" s="308" t="s">
        <v>78</v>
      </c>
      <c r="H77" s="310" t="s">
        <v>329</v>
      </c>
      <c r="I77" s="309" t="s">
        <v>78</v>
      </c>
      <c r="J77" s="309"/>
      <c r="K77" s="309">
        <v>5</v>
      </c>
      <c r="L77" s="308" t="s">
        <v>105</v>
      </c>
      <c r="M77" s="311"/>
      <c r="N77" s="311" t="s">
        <v>1150</v>
      </c>
      <c r="O77" s="311" t="s">
        <v>1176</v>
      </c>
      <c r="P77" s="312">
        <v>300</v>
      </c>
      <c r="Q77" s="312"/>
      <c r="R77" s="308"/>
    </row>
    <row r="78" spans="1:18" s="313" customFormat="1" x14ac:dyDescent="0.25">
      <c r="A78" s="307" t="s">
        <v>617</v>
      </c>
      <c r="B78" s="308" t="s">
        <v>1107</v>
      </c>
      <c r="C78" s="308" t="s">
        <v>618</v>
      </c>
      <c r="D78" s="308" t="s">
        <v>78</v>
      </c>
      <c r="E78" s="309" t="s">
        <v>78</v>
      </c>
      <c r="F78" s="331" t="str">
        <f>HYPERLINK("#'Circular Efforts'!A6:Q6","C13")</f>
        <v>C13</v>
      </c>
      <c r="G78" s="308" t="s">
        <v>78</v>
      </c>
      <c r="H78" s="310" t="s">
        <v>329</v>
      </c>
      <c r="I78" s="309" t="s">
        <v>78</v>
      </c>
      <c r="J78" s="314"/>
      <c r="K78" s="309">
        <v>5</v>
      </c>
      <c r="L78" s="308" t="s">
        <v>105</v>
      </c>
      <c r="M78" s="311"/>
      <c r="N78" s="311" t="s">
        <v>1132</v>
      </c>
      <c r="O78" s="311" t="s">
        <v>1176</v>
      </c>
      <c r="P78" s="312">
        <v>3600</v>
      </c>
      <c r="Q78" s="312" t="s">
        <v>1494</v>
      </c>
      <c r="R78" s="308"/>
    </row>
    <row r="79" spans="1:18" s="313" customFormat="1" ht="45" x14ac:dyDescent="0.25">
      <c r="A79" s="307" t="s">
        <v>619</v>
      </c>
      <c r="B79" s="308" t="s">
        <v>1108</v>
      </c>
      <c r="C79" s="308" t="s">
        <v>1099</v>
      </c>
      <c r="D79" s="308" t="s">
        <v>78</v>
      </c>
      <c r="E79" s="309" t="s">
        <v>78</v>
      </c>
      <c r="F79" s="331" t="str">
        <f>HYPERLINK("#'Circular Efforts'!A6:Q6","C13")</f>
        <v>C13</v>
      </c>
      <c r="G79" s="308" t="s">
        <v>78</v>
      </c>
      <c r="H79" s="310" t="s">
        <v>329</v>
      </c>
      <c r="I79" s="309" t="s">
        <v>78</v>
      </c>
      <c r="J79" s="314"/>
      <c r="K79" s="309">
        <v>5</v>
      </c>
      <c r="L79" s="308" t="s">
        <v>105</v>
      </c>
      <c r="M79" s="311"/>
      <c r="N79" s="311" t="s">
        <v>1132</v>
      </c>
      <c r="O79" s="311" t="s">
        <v>1176</v>
      </c>
      <c r="P79" s="312">
        <v>2800</v>
      </c>
      <c r="Q79" s="312"/>
      <c r="R79" s="308"/>
    </row>
    <row r="80" spans="1:18" s="313" customFormat="1" x14ac:dyDescent="0.25">
      <c r="A80" s="307" t="s">
        <v>646</v>
      </c>
      <c r="B80" s="308" t="s">
        <v>647</v>
      </c>
      <c r="C80" s="308" t="s">
        <v>648</v>
      </c>
      <c r="D80" s="309" t="s">
        <v>78</v>
      </c>
      <c r="E80" s="309" t="s">
        <v>78</v>
      </c>
      <c r="F80" s="331" t="str">
        <f>HYPERLINK("#'Circular Efforts'!A15:Q15","C211")</f>
        <v>C211</v>
      </c>
      <c r="G80" s="308" t="s">
        <v>78</v>
      </c>
      <c r="H80" s="310" t="s">
        <v>65</v>
      </c>
      <c r="I80" s="309" t="s">
        <v>78</v>
      </c>
      <c r="J80" s="309"/>
      <c r="K80" s="309">
        <v>5</v>
      </c>
      <c r="L80" s="308" t="s">
        <v>105</v>
      </c>
      <c r="M80" s="311"/>
      <c r="N80" s="311" t="s">
        <v>1132</v>
      </c>
      <c r="O80" s="311" t="s">
        <v>1176</v>
      </c>
      <c r="P80" s="312">
        <v>800</v>
      </c>
      <c r="Q80" s="312"/>
      <c r="R80" s="308"/>
    </row>
    <row r="81" spans="1:18" s="313" customFormat="1" x14ac:dyDescent="0.25">
      <c r="A81" s="307" t="s">
        <v>649</v>
      </c>
      <c r="B81" s="308" t="s">
        <v>650</v>
      </c>
      <c r="C81" s="308" t="s">
        <v>651</v>
      </c>
      <c r="D81" s="309" t="s">
        <v>78</v>
      </c>
      <c r="E81" s="309" t="s">
        <v>78</v>
      </c>
      <c r="F81" s="331" t="str">
        <f>HYPERLINK("#'Circular Efforts'!A15:Q15","C211")</f>
        <v>C211</v>
      </c>
      <c r="G81" s="308" t="s">
        <v>78</v>
      </c>
      <c r="H81" s="310" t="s">
        <v>65</v>
      </c>
      <c r="I81" s="309" t="s">
        <v>78</v>
      </c>
      <c r="J81" s="309"/>
      <c r="K81" s="309">
        <v>5</v>
      </c>
      <c r="L81" s="308" t="s">
        <v>105</v>
      </c>
      <c r="M81" s="311"/>
      <c r="N81" s="311" t="s">
        <v>1132</v>
      </c>
      <c r="O81" s="311" t="s">
        <v>1176</v>
      </c>
      <c r="P81" s="312">
        <v>700</v>
      </c>
      <c r="Q81" s="312"/>
      <c r="R81" s="308"/>
    </row>
    <row r="82" spans="1:18" s="313" customFormat="1" ht="30" x14ac:dyDescent="0.25">
      <c r="A82" s="307" t="s">
        <v>652</v>
      </c>
      <c r="B82" s="308" t="s">
        <v>653</v>
      </c>
      <c r="C82" s="308" t="s">
        <v>654</v>
      </c>
      <c r="D82" s="309" t="s">
        <v>78</v>
      </c>
      <c r="E82" s="309" t="s">
        <v>78</v>
      </c>
      <c r="F82" s="331" t="str">
        <f>HYPERLINK("#'Circular Efforts'!A16:Q16","C212")</f>
        <v>C212</v>
      </c>
      <c r="G82" s="308" t="s">
        <v>78</v>
      </c>
      <c r="H82" s="310" t="s">
        <v>655</v>
      </c>
      <c r="I82" s="309" t="s">
        <v>78</v>
      </c>
      <c r="J82" s="309"/>
      <c r="K82" s="309">
        <v>5</v>
      </c>
      <c r="L82" s="308" t="s">
        <v>105</v>
      </c>
      <c r="M82" s="311"/>
      <c r="N82" s="311" t="s">
        <v>1132</v>
      </c>
      <c r="O82" s="311" t="s">
        <v>1176</v>
      </c>
      <c r="P82" s="312">
        <v>60</v>
      </c>
      <c r="Q82" s="312"/>
      <c r="R82" s="308"/>
    </row>
    <row r="83" spans="1:18" s="313" customFormat="1" ht="30" x14ac:dyDescent="0.25">
      <c r="A83" s="307" t="s">
        <v>656</v>
      </c>
      <c r="B83" s="308" t="s">
        <v>657</v>
      </c>
      <c r="C83" s="308" t="s">
        <v>658</v>
      </c>
      <c r="D83" s="309" t="s">
        <v>78</v>
      </c>
      <c r="E83" s="309" t="s">
        <v>78</v>
      </c>
      <c r="F83" s="331" t="str">
        <f>HYPERLINK("#'Circular Efforts'!A16:Q16","C212")</f>
        <v>C212</v>
      </c>
      <c r="G83" s="308" t="s">
        <v>78</v>
      </c>
      <c r="H83" s="310" t="s">
        <v>655</v>
      </c>
      <c r="I83" s="309" t="s">
        <v>78</v>
      </c>
      <c r="J83" s="309"/>
      <c r="K83" s="309">
        <v>5</v>
      </c>
      <c r="L83" s="308" t="s">
        <v>105</v>
      </c>
      <c r="M83" s="311"/>
      <c r="N83" s="311" t="s">
        <v>1130</v>
      </c>
      <c r="O83" s="311" t="s">
        <v>1176</v>
      </c>
      <c r="P83" s="312">
        <v>80</v>
      </c>
      <c r="Q83" s="312"/>
      <c r="R83" s="308"/>
    </row>
    <row r="84" spans="1:18" s="313" customFormat="1" x14ac:dyDescent="0.25">
      <c r="A84" s="307" t="s">
        <v>659</v>
      </c>
      <c r="B84" s="308" t="s">
        <v>660</v>
      </c>
      <c r="C84" s="308" t="s">
        <v>661</v>
      </c>
      <c r="D84" s="309" t="s">
        <v>78</v>
      </c>
      <c r="E84" s="309" t="s">
        <v>78</v>
      </c>
      <c r="F84" s="331" t="str">
        <f>HYPERLINK("#'Circular Efforts'!A17:Q17","C213")</f>
        <v>C213</v>
      </c>
      <c r="G84" s="308" t="s">
        <v>78</v>
      </c>
      <c r="H84" s="310" t="s">
        <v>1196</v>
      </c>
      <c r="I84" s="309" t="s">
        <v>78</v>
      </c>
      <c r="J84" s="309"/>
      <c r="K84" s="309">
        <v>5</v>
      </c>
      <c r="L84" s="308" t="s">
        <v>105</v>
      </c>
      <c r="M84" s="311"/>
      <c r="N84" s="311" t="s">
        <v>1132</v>
      </c>
      <c r="O84" s="311" t="s">
        <v>1176</v>
      </c>
      <c r="P84" s="312">
        <v>3</v>
      </c>
      <c r="Q84" s="312"/>
      <c r="R84" s="308"/>
    </row>
    <row r="85" spans="1:18" s="313" customFormat="1" x14ac:dyDescent="0.25">
      <c r="A85" s="307" t="s">
        <v>683</v>
      </c>
      <c r="B85" s="308" t="s">
        <v>1464</v>
      </c>
      <c r="C85" s="308" t="s">
        <v>684</v>
      </c>
      <c r="D85" s="309" t="s">
        <v>78</v>
      </c>
      <c r="E85" s="309" t="s">
        <v>78</v>
      </c>
      <c r="F85" s="331" t="str">
        <f>HYPERLINK("#'Circular Efforts'!A24:Q24","C221")</f>
        <v>C221</v>
      </c>
      <c r="G85" s="308" t="s">
        <v>78</v>
      </c>
      <c r="H85" s="310" t="s">
        <v>65</v>
      </c>
      <c r="I85" s="309" t="s">
        <v>78</v>
      </c>
      <c r="J85" s="309"/>
      <c r="K85" s="309">
        <v>5</v>
      </c>
      <c r="L85" s="308" t="s">
        <v>105</v>
      </c>
      <c r="M85" s="311"/>
      <c r="N85" s="311" t="s">
        <v>1131</v>
      </c>
      <c r="O85" s="311" t="s">
        <v>1176</v>
      </c>
      <c r="P85" s="312">
        <v>500</v>
      </c>
      <c r="Q85" s="312"/>
      <c r="R85" s="308"/>
    </row>
    <row r="86" spans="1:18" s="313" customFormat="1" x14ac:dyDescent="0.25">
      <c r="A86" s="307" t="s">
        <v>685</v>
      </c>
      <c r="B86" s="308" t="s">
        <v>1463</v>
      </c>
      <c r="C86" s="308" t="s">
        <v>686</v>
      </c>
      <c r="D86" s="309" t="s">
        <v>78</v>
      </c>
      <c r="E86" s="309" t="s">
        <v>78</v>
      </c>
      <c r="F86" s="331" t="str">
        <f>HYPERLINK("#'Circular Efforts'!A24:Q24","C221")</f>
        <v>C221</v>
      </c>
      <c r="G86" s="308" t="s">
        <v>78</v>
      </c>
      <c r="H86" s="310" t="s">
        <v>65</v>
      </c>
      <c r="I86" s="309" t="s">
        <v>78</v>
      </c>
      <c r="J86" s="309"/>
      <c r="K86" s="309">
        <v>5</v>
      </c>
      <c r="L86" s="308" t="s">
        <v>105</v>
      </c>
      <c r="M86" s="311"/>
      <c r="N86" s="311" t="s">
        <v>1131</v>
      </c>
      <c r="O86" s="311" t="s">
        <v>1176</v>
      </c>
      <c r="P86" s="312">
        <v>450</v>
      </c>
      <c r="Q86" s="312"/>
      <c r="R86" s="308"/>
    </row>
    <row r="87" spans="1:18" s="313" customFormat="1" ht="30" x14ac:dyDescent="0.25">
      <c r="A87" s="307" t="s">
        <v>687</v>
      </c>
      <c r="B87" s="308" t="s">
        <v>688</v>
      </c>
      <c r="C87" s="308" t="s">
        <v>689</v>
      </c>
      <c r="D87" s="309" t="s">
        <v>78</v>
      </c>
      <c r="E87" s="309" t="s">
        <v>78</v>
      </c>
      <c r="F87" s="331" t="str">
        <f>HYPERLINK("#'Circular Efforts'!A25:Q25","C222")</f>
        <v>C222</v>
      </c>
      <c r="G87" s="308" t="s">
        <v>78</v>
      </c>
      <c r="H87" s="310" t="s">
        <v>690</v>
      </c>
      <c r="I87" s="309" t="s">
        <v>78</v>
      </c>
      <c r="J87" s="309" t="s">
        <v>691</v>
      </c>
      <c r="K87" s="309">
        <v>5</v>
      </c>
      <c r="L87" s="308" t="s">
        <v>105</v>
      </c>
      <c r="M87" s="311"/>
      <c r="N87" s="311" t="s">
        <v>1132</v>
      </c>
      <c r="O87" s="311" t="s">
        <v>1176</v>
      </c>
      <c r="P87" s="312">
        <v>5</v>
      </c>
      <c r="Q87" s="312"/>
      <c r="R87" s="308"/>
    </row>
    <row r="88" spans="1:18" s="313" customFormat="1" ht="30" x14ac:dyDescent="0.25">
      <c r="A88" s="307" t="s">
        <v>692</v>
      </c>
      <c r="B88" s="308" t="s">
        <v>693</v>
      </c>
      <c r="C88" s="308" t="s">
        <v>694</v>
      </c>
      <c r="D88" s="309" t="s">
        <v>78</v>
      </c>
      <c r="E88" s="309" t="s">
        <v>78</v>
      </c>
      <c r="F88" s="331" t="str">
        <f>HYPERLINK("#'Circular Efforts'!A25:Q25","C222")</f>
        <v>C222</v>
      </c>
      <c r="G88" s="308" t="s">
        <v>78</v>
      </c>
      <c r="H88" s="310" t="s">
        <v>690</v>
      </c>
      <c r="I88" s="309" t="s">
        <v>78</v>
      </c>
      <c r="J88" s="309" t="s">
        <v>691</v>
      </c>
      <c r="K88" s="309">
        <v>5</v>
      </c>
      <c r="L88" s="308" t="s">
        <v>105</v>
      </c>
      <c r="M88" s="311"/>
      <c r="N88" s="311" t="s">
        <v>1142</v>
      </c>
      <c r="O88" s="311" t="s">
        <v>1176</v>
      </c>
      <c r="P88" s="312">
        <v>10</v>
      </c>
      <c r="Q88" s="312"/>
      <c r="R88" s="308"/>
    </row>
    <row r="89" spans="1:18" s="313" customFormat="1" x14ac:dyDescent="0.25">
      <c r="A89" s="307" t="s">
        <v>695</v>
      </c>
      <c r="B89" s="308" t="s">
        <v>696</v>
      </c>
      <c r="C89" s="308" t="s">
        <v>697</v>
      </c>
      <c r="D89" s="309" t="s">
        <v>78</v>
      </c>
      <c r="E89" s="309" t="s">
        <v>78</v>
      </c>
      <c r="F89" s="331" t="str">
        <f>HYPERLINK("#'Circular Efforts'!A26:Q26","C223")</f>
        <v>C223</v>
      </c>
      <c r="G89" s="308" t="s">
        <v>78</v>
      </c>
      <c r="H89" s="310" t="s">
        <v>1196</v>
      </c>
      <c r="I89" s="309" t="s">
        <v>78</v>
      </c>
      <c r="J89" s="309"/>
      <c r="K89" s="309">
        <v>5</v>
      </c>
      <c r="L89" s="308" t="s">
        <v>105</v>
      </c>
      <c r="M89" s="311"/>
      <c r="N89" s="311" t="s">
        <v>1131</v>
      </c>
      <c r="O89" s="311" t="s">
        <v>1176</v>
      </c>
      <c r="P89" s="312">
        <v>2</v>
      </c>
      <c r="Q89" s="312"/>
      <c r="R89" s="308"/>
    </row>
    <row r="90" spans="1:18" s="313" customFormat="1" ht="38.25" customHeight="1" x14ac:dyDescent="0.25">
      <c r="A90" s="307" t="s">
        <v>707</v>
      </c>
      <c r="B90" s="308" t="s">
        <v>1214</v>
      </c>
      <c r="C90" s="308" t="s">
        <v>1215</v>
      </c>
      <c r="D90" s="309" t="s">
        <v>78</v>
      </c>
      <c r="E90" s="309" t="s">
        <v>78</v>
      </c>
      <c r="F90" s="331" t="str">
        <f>HYPERLINK("#'Circular Efforts'!A33:Q33","C231")</f>
        <v>C231</v>
      </c>
      <c r="G90" s="308" t="s">
        <v>78</v>
      </c>
      <c r="H90" s="310" t="s">
        <v>329</v>
      </c>
      <c r="I90" s="309" t="s">
        <v>78</v>
      </c>
      <c r="J90" s="309"/>
      <c r="K90" s="309">
        <v>5</v>
      </c>
      <c r="L90" s="308" t="s">
        <v>105</v>
      </c>
      <c r="M90" s="311"/>
      <c r="N90" s="311" t="s">
        <v>1132</v>
      </c>
      <c r="O90" s="311" t="s">
        <v>1176</v>
      </c>
      <c r="P90" s="312">
        <v>5000</v>
      </c>
      <c r="Q90" s="312"/>
      <c r="R90" s="308" t="s">
        <v>1201</v>
      </c>
    </row>
    <row r="91" spans="1:18" s="313" customFormat="1" ht="38.25" customHeight="1" x14ac:dyDescent="0.25">
      <c r="A91" s="307" t="s">
        <v>708</v>
      </c>
      <c r="B91" s="308" t="s">
        <v>709</v>
      </c>
      <c r="C91" s="308" t="s">
        <v>710</v>
      </c>
      <c r="D91" s="309" t="s">
        <v>78</v>
      </c>
      <c r="E91" s="309" t="s">
        <v>78</v>
      </c>
      <c r="F91" s="331" t="str">
        <f>HYPERLINK("#'Circular Efforts'!A34:Q34","C232")</f>
        <v>C232</v>
      </c>
      <c r="G91" s="308" t="s">
        <v>78</v>
      </c>
      <c r="H91" s="310" t="s">
        <v>329</v>
      </c>
      <c r="I91" s="309" t="s">
        <v>78</v>
      </c>
      <c r="J91" s="314"/>
      <c r="K91" s="309" t="s">
        <v>337</v>
      </c>
      <c r="L91" s="308" t="s">
        <v>105</v>
      </c>
      <c r="M91" s="311"/>
      <c r="N91" s="311" t="s">
        <v>1132</v>
      </c>
      <c r="O91" s="311" t="s">
        <v>1176</v>
      </c>
      <c r="P91" s="312">
        <v>4000</v>
      </c>
      <c r="Q91" s="312"/>
      <c r="R91" s="308"/>
    </row>
    <row r="92" spans="1:18" s="313" customFormat="1" ht="38.25" customHeight="1" x14ac:dyDescent="0.25">
      <c r="A92" s="307" t="s">
        <v>711</v>
      </c>
      <c r="B92" s="308" t="s">
        <v>712</v>
      </c>
      <c r="C92" s="308" t="s">
        <v>1216</v>
      </c>
      <c r="D92" s="309" t="s">
        <v>78</v>
      </c>
      <c r="E92" s="309" t="s">
        <v>78</v>
      </c>
      <c r="F92" s="331" t="str">
        <f>HYPERLINK("#'Circular Efforts'!A33:Q33","C231
C232")</f>
        <v>C231
C232</v>
      </c>
      <c r="G92" s="308" t="s">
        <v>78</v>
      </c>
      <c r="H92" s="310" t="s">
        <v>329</v>
      </c>
      <c r="I92" s="309" t="s">
        <v>78</v>
      </c>
      <c r="J92" s="314"/>
      <c r="K92" s="309" t="s">
        <v>337</v>
      </c>
      <c r="L92" s="308" t="s">
        <v>105</v>
      </c>
      <c r="M92" s="311"/>
      <c r="N92" s="311" t="s">
        <v>1132</v>
      </c>
      <c r="O92" s="311" t="s">
        <v>1176</v>
      </c>
      <c r="P92" s="312">
        <v>3000</v>
      </c>
      <c r="Q92" s="312"/>
      <c r="R92" s="308"/>
    </row>
    <row r="93" spans="1:18" s="313" customFormat="1" ht="45" x14ac:dyDescent="0.25">
      <c r="A93" s="315" t="s">
        <v>733</v>
      </c>
      <c r="B93" s="308" t="s">
        <v>734</v>
      </c>
      <c r="C93" s="308" t="s">
        <v>735</v>
      </c>
      <c r="D93" s="309" t="s">
        <v>78</v>
      </c>
      <c r="E93" s="309" t="s">
        <v>78</v>
      </c>
      <c r="F93" s="331" t="str">
        <f>HYPERLINK("#'Circular Efforts'!A39:Q39","C31
C32
C33")</f>
        <v>C31
C32
C33</v>
      </c>
      <c r="G93" s="308" t="s">
        <v>78</v>
      </c>
      <c r="H93" s="310" t="s">
        <v>329</v>
      </c>
      <c r="I93" s="309" t="s">
        <v>78</v>
      </c>
      <c r="J93" s="309"/>
      <c r="K93" s="309">
        <v>5</v>
      </c>
      <c r="L93" s="308" t="s">
        <v>105</v>
      </c>
      <c r="M93" s="311"/>
      <c r="N93" s="311" t="s">
        <v>1142</v>
      </c>
      <c r="O93" s="311" t="s">
        <v>1176</v>
      </c>
      <c r="P93" s="312">
        <v>5</v>
      </c>
      <c r="Q93" s="312"/>
      <c r="R93" s="308"/>
    </row>
    <row r="94" spans="1:18" s="313" customFormat="1" ht="30" x14ac:dyDescent="0.25">
      <c r="A94" s="315" t="s">
        <v>736</v>
      </c>
      <c r="B94" s="316" t="s">
        <v>737</v>
      </c>
      <c r="C94" s="308" t="s">
        <v>738</v>
      </c>
      <c r="D94" s="314" t="s">
        <v>78</v>
      </c>
      <c r="E94" s="314" t="s">
        <v>78</v>
      </c>
      <c r="F94" s="332" t="str">
        <f>HYPERLINK("#'Circular Efforts'!A39:Q39","C31")</f>
        <v>C31</v>
      </c>
      <c r="G94" s="316" t="s">
        <v>78</v>
      </c>
      <c r="H94" s="317" t="s">
        <v>329</v>
      </c>
      <c r="I94" s="314" t="s">
        <v>78</v>
      </c>
      <c r="J94" s="314" t="s">
        <v>739</v>
      </c>
      <c r="K94" s="309">
        <v>5</v>
      </c>
      <c r="L94" s="308" t="s">
        <v>105</v>
      </c>
      <c r="M94" s="318"/>
      <c r="N94" s="318" t="s">
        <v>1142</v>
      </c>
      <c r="O94" s="311" t="s">
        <v>1176</v>
      </c>
      <c r="P94" s="319">
        <v>2</v>
      </c>
      <c r="Q94" s="319"/>
      <c r="R94" s="316"/>
    </row>
    <row r="95" spans="1:18" s="313" customFormat="1" ht="30" x14ac:dyDescent="0.25">
      <c r="A95" s="315" t="s">
        <v>740</v>
      </c>
      <c r="B95" s="316" t="s">
        <v>1114</v>
      </c>
      <c r="C95" s="308" t="s">
        <v>1115</v>
      </c>
      <c r="D95" s="314" t="s">
        <v>78</v>
      </c>
      <c r="E95" s="314" t="s">
        <v>78</v>
      </c>
      <c r="F95" s="332" t="str">
        <f>HYPERLINK("#'Circular Efforts'!A40:Q40","C32")</f>
        <v>C32</v>
      </c>
      <c r="G95" s="316" t="s">
        <v>78</v>
      </c>
      <c r="H95" s="317" t="s">
        <v>329</v>
      </c>
      <c r="I95" s="314" t="s">
        <v>78</v>
      </c>
      <c r="J95" s="314" t="s">
        <v>101</v>
      </c>
      <c r="K95" s="309">
        <v>5</v>
      </c>
      <c r="L95" s="308" t="s">
        <v>105</v>
      </c>
      <c r="M95" s="318"/>
      <c r="N95" s="318" t="s">
        <v>1142</v>
      </c>
      <c r="O95" s="311" t="s">
        <v>1176</v>
      </c>
      <c r="P95" s="319">
        <v>3</v>
      </c>
      <c r="Q95" s="319"/>
      <c r="R95" s="316"/>
    </row>
    <row r="96" spans="1:18" s="313" customFormat="1" ht="30" x14ac:dyDescent="0.25">
      <c r="A96" s="315" t="s">
        <v>741</v>
      </c>
      <c r="B96" s="316" t="s">
        <v>742</v>
      </c>
      <c r="C96" s="308" t="s">
        <v>743</v>
      </c>
      <c r="D96" s="314" t="s">
        <v>78</v>
      </c>
      <c r="E96" s="314" t="s">
        <v>78</v>
      </c>
      <c r="F96" s="332" t="str">
        <f>HYPERLINK("#'Circular Efforts'!A41:Q41","C33")</f>
        <v>C33</v>
      </c>
      <c r="G96" s="316" t="s">
        <v>78</v>
      </c>
      <c r="H96" s="317" t="s">
        <v>329</v>
      </c>
      <c r="I96" s="314" t="s">
        <v>78</v>
      </c>
      <c r="J96" s="314" t="s">
        <v>728</v>
      </c>
      <c r="K96" s="309">
        <v>5</v>
      </c>
      <c r="L96" s="308" t="s">
        <v>105</v>
      </c>
      <c r="M96" s="318"/>
      <c r="N96" s="318" t="s">
        <v>1142</v>
      </c>
      <c r="O96" s="311" t="s">
        <v>1176</v>
      </c>
      <c r="P96" s="319">
        <v>1</v>
      </c>
      <c r="Q96" s="319"/>
      <c r="R96" s="316"/>
    </row>
    <row r="97" spans="1:18" s="313" customFormat="1" ht="135" x14ac:dyDescent="0.25">
      <c r="A97" s="315" t="s">
        <v>744</v>
      </c>
      <c r="B97" s="316" t="s">
        <v>745</v>
      </c>
      <c r="C97" s="316" t="s">
        <v>1630</v>
      </c>
      <c r="D97" s="314" t="s">
        <v>78</v>
      </c>
      <c r="E97" s="314" t="s">
        <v>78</v>
      </c>
      <c r="F97" s="332" t="str">
        <f>HYPERLINK("#'Circular Efforts'!A42:Q42","C34")</f>
        <v>C34</v>
      </c>
      <c r="G97" s="316" t="s">
        <v>746</v>
      </c>
      <c r="H97" s="317" t="s">
        <v>79</v>
      </c>
      <c r="I97" s="314" t="s">
        <v>1631</v>
      </c>
      <c r="J97" s="314" t="s">
        <v>1632</v>
      </c>
      <c r="K97" s="309">
        <v>5</v>
      </c>
      <c r="L97" s="308" t="s">
        <v>105</v>
      </c>
      <c r="M97" s="318"/>
      <c r="N97" s="318" t="s">
        <v>1142</v>
      </c>
      <c r="O97" s="311" t="s">
        <v>1177</v>
      </c>
      <c r="P97" s="319" t="s">
        <v>1202</v>
      </c>
      <c r="Q97" s="319">
        <v>0.5</v>
      </c>
      <c r="R97" s="316" t="s">
        <v>1519</v>
      </c>
    </row>
    <row r="98" spans="1:18" s="313" customFormat="1" ht="135" x14ac:dyDescent="0.25">
      <c r="A98" s="315" t="s">
        <v>747</v>
      </c>
      <c r="B98" s="316" t="s">
        <v>748</v>
      </c>
      <c r="C98" s="316" t="s">
        <v>1633</v>
      </c>
      <c r="D98" s="314" t="s">
        <v>78</v>
      </c>
      <c r="E98" s="314" t="s">
        <v>78</v>
      </c>
      <c r="F98" s="332" t="str">
        <f>HYPERLINK("#'Circular Efforts'!A42:Q42","C34")</f>
        <v>C34</v>
      </c>
      <c r="G98" s="316" t="s">
        <v>153</v>
      </c>
      <c r="H98" s="317" t="s">
        <v>79</v>
      </c>
      <c r="I98" s="314" t="s">
        <v>749</v>
      </c>
      <c r="J98" s="314" t="s">
        <v>1634</v>
      </c>
      <c r="K98" s="309">
        <v>5</v>
      </c>
      <c r="L98" s="308" t="s">
        <v>105</v>
      </c>
      <c r="M98" s="318"/>
      <c r="N98" s="318" t="s">
        <v>1148</v>
      </c>
      <c r="O98" s="311" t="s">
        <v>1177</v>
      </c>
      <c r="P98" s="319" t="s">
        <v>1202</v>
      </c>
      <c r="Q98" s="319">
        <v>0.5</v>
      </c>
      <c r="R98" s="316" t="s">
        <v>1519</v>
      </c>
    </row>
    <row r="99" spans="1:18" s="313" customFormat="1" ht="60" x14ac:dyDescent="0.25">
      <c r="A99" s="315" t="s">
        <v>754</v>
      </c>
      <c r="B99" s="316" t="s">
        <v>755</v>
      </c>
      <c r="C99" s="308" t="s">
        <v>756</v>
      </c>
      <c r="D99" s="314" t="s">
        <v>78</v>
      </c>
      <c r="E99" s="314" t="s">
        <v>78</v>
      </c>
      <c r="F99" s="332" t="str">
        <f>HYPERLINK("#'Circular Efforts'!A49:Q49","C4")</f>
        <v>C4</v>
      </c>
      <c r="G99" s="316" t="s">
        <v>78</v>
      </c>
      <c r="H99" s="317" t="s">
        <v>329</v>
      </c>
      <c r="I99" s="314" t="s">
        <v>78</v>
      </c>
      <c r="J99" s="314" t="s">
        <v>1635</v>
      </c>
      <c r="K99" s="309">
        <v>5</v>
      </c>
      <c r="L99" s="308" t="s">
        <v>105</v>
      </c>
      <c r="M99" s="318"/>
      <c r="N99" s="318" t="s">
        <v>1130</v>
      </c>
      <c r="O99" s="311" t="s">
        <v>1176</v>
      </c>
      <c r="P99" s="319"/>
      <c r="Q99" s="319" t="s">
        <v>1494</v>
      </c>
      <c r="R99" s="316" t="s">
        <v>1090</v>
      </c>
    </row>
    <row r="100" spans="1:18" s="313" customFormat="1" ht="30" x14ac:dyDescent="0.25">
      <c r="A100" s="315" t="s">
        <v>757</v>
      </c>
      <c r="B100" s="316" t="s">
        <v>1091</v>
      </c>
      <c r="C100" s="308" t="s">
        <v>1386</v>
      </c>
      <c r="D100" s="314" t="s">
        <v>78</v>
      </c>
      <c r="E100" s="314" t="s">
        <v>78</v>
      </c>
      <c r="F100" s="332" t="str">
        <f>HYPERLINK("#'Circular Efforts'!A49:Q49","C4")</f>
        <v>C4</v>
      </c>
      <c r="G100" s="316" t="s">
        <v>78</v>
      </c>
      <c r="H100" s="317" t="s">
        <v>329</v>
      </c>
      <c r="I100" s="314" t="s">
        <v>78</v>
      </c>
      <c r="J100" s="314" t="s">
        <v>936</v>
      </c>
      <c r="K100" s="309">
        <v>5</v>
      </c>
      <c r="L100" s="308" t="s">
        <v>105</v>
      </c>
      <c r="M100" s="318"/>
      <c r="N100" s="318" t="s">
        <v>1130</v>
      </c>
      <c r="O100" s="311" t="s">
        <v>1176</v>
      </c>
      <c r="P100" s="319"/>
      <c r="Q100" s="319" t="s">
        <v>1494</v>
      </c>
      <c r="R100" s="316"/>
    </row>
    <row r="101" spans="1:18" s="313" customFormat="1" ht="60" x14ac:dyDescent="0.25">
      <c r="A101" s="315" t="s">
        <v>758</v>
      </c>
      <c r="B101" s="316" t="s">
        <v>759</v>
      </c>
      <c r="C101" s="308" t="s">
        <v>760</v>
      </c>
      <c r="D101" s="314" t="s">
        <v>78</v>
      </c>
      <c r="E101" s="314" t="s">
        <v>78</v>
      </c>
      <c r="F101" s="332" t="str">
        <f>HYPERLINK("#'Circular Efforts'!A49:Q49","C4")</f>
        <v>C4</v>
      </c>
      <c r="G101" s="316" t="s">
        <v>78</v>
      </c>
      <c r="H101" s="317" t="s">
        <v>329</v>
      </c>
      <c r="I101" s="314" t="s">
        <v>78</v>
      </c>
      <c r="J101" s="314" t="s">
        <v>936</v>
      </c>
      <c r="K101" s="309">
        <v>5</v>
      </c>
      <c r="L101" s="308" t="s">
        <v>105</v>
      </c>
      <c r="M101" s="318"/>
      <c r="N101" s="318" t="s">
        <v>1130</v>
      </c>
      <c r="O101" s="311" t="s">
        <v>1176</v>
      </c>
      <c r="P101" s="319"/>
      <c r="Q101" s="319" t="s">
        <v>1494</v>
      </c>
      <c r="R101" s="316" t="s">
        <v>1636</v>
      </c>
    </row>
    <row r="102" spans="1:18" s="313" customFormat="1" x14ac:dyDescent="0.25">
      <c r="A102" s="315" t="s">
        <v>1109</v>
      </c>
      <c r="B102" s="316" t="s">
        <v>1097</v>
      </c>
      <c r="C102" s="308" t="s">
        <v>1103</v>
      </c>
      <c r="D102" s="314" t="s">
        <v>78</v>
      </c>
      <c r="E102" s="314" t="s">
        <v>78</v>
      </c>
      <c r="F102" s="332" t="str">
        <f>HYPERLINK("#'Circular Efforts'!A53:Q53","C5")</f>
        <v>C5</v>
      </c>
      <c r="G102" s="316" t="s">
        <v>78</v>
      </c>
      <c r="H102" s="317" t="s">
        <v>329</v>
      </c>
      <c r="I102" s="314" t="s">
        <v>78</v>
      </c>
      <c r="J102" s="314"/>
      <c r="K102" s="309">
        <v>5</v>
      </c>
      <c r="L102" s="308" t="s">
        <v>105</v>
      </c>
      <c r="M102" s="318"/>
      <c r="N102" s="318" t="s">
        <v>1132</v>
      </c>
      <c r="O102" s="311" t="s">
        <v>1176</v>
      </c>
      <c r="P102" s="319"/>
      <c r="Q102" s="319" t="s">
        <v>1494</v>
      </c>
      <c r="R102" s="316"/>
    </row>
    <row r="103" spans="1:18" s="313" customFormat="1" ht="30" x14ac:dyDescent="0.25">
      <c r="A103" s="315" t="s">
        <v>1110</v>
      </c>
      <c r="B103" s="316" t="s">
        <v>1096</v>
      </c>
      <c r="C103" s="308" t="s">
        <v>1104</v>
      </c>
      <c r="D103" s="314" t="s">
        <v>78</v>
      </c>
      <c r="E103" s="314" t="s">
        <v>78</v>
      </c>
      <c r="F103" s="332" t="str">
        <f>HYPERLINK("#'Circular Efforts'!A53:Q53","C5")</f>
        <v>C5</v>
      </c>
      <c r="G103" s="316" t="s">
        <v>78</v>
      </c>
      <c r="H103" s="317" t="s">
        <v>329</v>
      </c>
      <c r="I103" s="314" t="s">
        <v>78</v>
      </c>
      <c r="J103" s="314"/>
      <c r="K103" s="309">
        <v>5</v>
      </c>
      <c r="L103" s="308" t="s">
        <v>105</v>
      </c>
      <c r="M103" s="318"/>
      <c r="N103" s="318" t="s">
        <v>1132</v>
      </c>
      <c r="O103" s="311" t="s">
        <v>1176</v>
      </c>
      <c r="P103" s="319"/>
      <c r="Q103" s="319" t="s">
        <v>1494</v>
      </c>
      <c r="R103" s="316"/>
    </row>
    <row r="104" spans="1:18" s="313" customFormat="1" ht="30" x14ac:dyDescent="0.25">
      <c r="A104" s="315" t="s">
        <v>1111</v>
      </c>
      <c r="B104" s="316" t="s">
        <v>1094</v>
      </c>
      <c r="C104" s="308" t="s">
        <v>1105</v>
      </c>
      <c r="D104" s="314" t="s">
        <v>78</v>
      </c>
      <c r="E104" s="314" t="s">
        <v>78</v>
      </c>
      <c r="F104" s="332" t="str">
        <f>HYPERLINK("#'Circular Efforts'!A53:Q53","C5")</f>
        <v>C5</v>
      </c>
      <c r="G104" s="316" t="s">
        <v>78</v>
      </c>
      <c r="H104" s="317" t="s">
        <v>329</v>
      </c>
      <c r="I104" s="314" t="s">
        <v>78</v>
      </c>
      <c r="J104" s="314"/>
      <c r="K104" s="309">
        <v>5</v>
      </c>
      <c r="L104" s="308" t="s">
        <v>105</v>
      </c>
      <c r="M104" s="318"/>
      <c r="N104" s="318" t="s">
        <v>1132</v>
      </c>
      <c r="O104" s="311" t="s">
        <v>1176</v>
      </c>
      <c r="P104" s="319"/>
      <c r="Q104" s="319" t="s">
        <v>1494</v>
      </c>
      <c r="R104" s="316"/>
    </row>
    <row r="105" spans="1:18" s="313" customFormat="1" ht="45" x14ac:dyDescent="0.25">
      <c r="A105" s="315" t="s">
        <v>1112</v>
      </c>
      <c r="B105" s="316" t="s">
        <v>1095</v>
      </c>
      <c r="C105" s="308" t="s">
        <v>1106</v>
      </c>
      <c r="D105" s="314" t="s">
        <v>78</v>
      </c>
      <c r="E105" s="314" t="s">
        <v>78</v>
      </c>
      <c r="F105" s="332" t="str">
        <f>HYPERLINK("#'Circular Efforts'!A53:Q53","C5")</f>
        <v>C5</v>
      </c>
      <c r="G105" s="316" t="s">
        <v>78</v>
      </c>
      <c r="H105" s="317" t="s">
        <v>329</v>
      </c>
      <c r="I105" s="314" t="s">
        <v>78</v>
      </c>
      <c r="J105" s="314"/>
      <c r="K105" s="309">
        <v>5</v>
      </c>
      <c r="L105" s="308" t="s">
        <v>105</v>
      </c>
      <c r="M105" s="318"/>
      <c r="N105" s="318" t="s">
        <v>1132</v>
      </c>
      <c r="O105" s="311" t="s">
        <v>1176</v>
      </c>
      <c r="P105" s="319"/>
      <c r="Q105" s="319" t="s">
        <v>1494</v>
      </c>
      <c r="R105" s="308"/>
    </row>
    <row r="106" spans="1:18" s="320" customFormat="1" ht="30" x14ac:dyDescent="0.25">
      <c r="A106" s="7" t="s">
        <v>328</v>
      </c>
      <c r="B106" s="7" t="s">
        <v>1121</v>
      </c>
      <c r="C106" s="7" t="s">
        <v>1156</v>
      </c>
      <c r="D106" s="100" t="s">
        <v>78</v>
      </c>
      <c r="E106" s="100" t="s">
        <v>78</v>
      </c>
      <c r="F106" s="333" t="str">
        <f>HYPERLINK("#'Resource Efficiency'!A5:Q5","R111
R112")</f>
        <v>R111
R112</v>
      </c>
      <c r="G106" s="7" t="s">
        <v>78</v>
      </c>
      <c r="H106" s="11" t="s">
        <v>329</v>
      </c>
      <c r="I106" s="7" t="s">
        <v>78</v>
      </c>
      <c r="J106" s="7" t="s">
        <v>330</v>
      </c>
      <c r="K106" s="100">
        <v>5</v>
      </c>
      <c r="L106" s="7" t="s">
        <v>105</v>
      </c>
      <c r="M106" s="7"/>
      <c r="N106" s="7" t="s">
        <v>1130</v>
      </c>
      <c r="O106" s="7" t="s">
        <v>1176</v>
      </c>
      <c r="P106" s="7"/>
      <c r="Q106" s="7"/>
      <c r="R106" s="7"/>
    </row>
    <row r="107" spans="1:18" s="320" customFormat="1" ht="30" x14ac:dyDescent="0.25">
      <c r="A107" s="7" t="s">
        <v>331</v>
      </c>
      <c r="B107" s="7" t="s">
        <v>1119</v>
      </c>
      <c r="C107" s="7" t="s">
        <v>1157</v>
      </c>
      <c r="D107" s="100" t="s">
        <v>78</v>
      </c>
      <c r="E107" s="100" t="s">
        <v>78</v>
      </c>
      <c r="F107" s="333" t="str">
        <f>HYPERLINK("#'Resource Efficiency'!A5:Q5","R111")</f>
        <v>R111</v>
      </c>
      <c r="G107" s="7" t="s">
        <v>78</v>
      </c>
      <c r="H107" s="11" t="s">
        <v>329</v>
      </c>
      <c r="I107" s="7" t="s">
        <v>78</v>
      </c>
      <c r="J107" s="7" t="s">
        <v>332</v>
      </c>
      <c r="K107" s="100">
        <v>5</v>
      </c>
      <c r="L107" s="7" t="s">
        <v>105</v>
      </c>
      <c r="M107" s="7"/>
      <c r="N107" s="7" t="s">
        <v>1130</v>
      </c>
      <c r="O107" s="7" t="s">
        <v>1176</v>
      </c>
      <c r="P107" s="7"/>
      <c r="Q107" s="7"/>
      <c r="R107" s="7"/>
    </row>
    <row r="108" spans="1:18" s="320" customFormat="1" ht="30" x14ac:dyDescent="0.25">
      <c r="A108" s="7" t="s">
        <v>333</v>
      </c>
      <c r="B108" s="7" t="s">
        <v>1120</v>
      </c>
      <c r="C108" s="7" t="s">
        <v>1158</v>
      </c>
      <c r="D108" s="100" t="s">
        <v>78</v>
      </c>
      <c r="E108" s="100" t="s">
        <v>78</v>
      </c>
      <c r="F108" s="333" t="str">
        <f>HYPERLINK("#'Resource Efficiency'!A6:Q6","R112")</f>
        <v>R112</v>
      </c>
      <c r="G108" s="7" t="s">
        <v>78</v>
      </c>
      <c r="H108" s="11" t="s">
        <v>329</v>
      </c>
      <c r="I108" s="7" t="s">
        <v>78</v>
      </c>
      <c r="J108" s="7" t="s">
        <v>332</v>
      </c>
      <c r="K108" s="100">
        <v>5</v>
      </c>
      <c r="L108" s="7" t="s">
        <v>105</v>
      </c>
      <c r="M108" s="7"/>
      <c r="N108" s="7" t="s">
        <v>1130</v>
      </c>
      <c r="O108" s="7" t="s">
        <v>1176</v>
      </c>
      <c r="P108" s="7"/>
      <c r="Q108" s="7"/>
      <c r="R108" s="7"/>
    </row>
    <row r="109" spans="1:18" s="320" customFormat="1" x14ac:dyDescent="0.25">
      <c r="A109" s="7" t="s">
        <v>334</v>
      </c>
      <c r="B109" s="7" t="s">
        <v>335</v>
      </c>
      <c r="C109" s="7" t="s">
        <v>336</v>
      </c>
      <c r="D109" s="100" t="s">
        <v>78</v>
      </c>
      <c r="E109" s="100" t="s">
        <v>78</v>
      </c>
      <c r="F109" s="333" t="str">
        <f>HYPERLINK("#'Resource Efficiency'!A8:Q8","R121")</f>
        <v>R121</v>
      </c>
      <c r="G109" s="7" t="s">
        <v>78</v>
      </c>
      <c r="H109" s="11" t="s">
        <v>329</v>
      </c>
      <c r="I109" s="7" t="s">
        <v>78</v>
      </c>
      <c r="J109" s="7"/>
      <c r="K109" s="100" t="s">
        <v>337</v>
      </c>
      <c r="L109" s="7" t="s">
        <v>105</v>
      </c>
      <c r="M109" s="7"/>
      <c r="N109" s="7" t="s">
        <v>1155</v>
      </c>
      <c r="O109" s="7" t="s">
        <v>1176</v>
      </c>
      <c r="P109" s="7"/>
      <c r="Q109" s="7" t="s">
        <v>1494</v>
      </c>
      <c r="R109" s="7"/>
    </row>
    <row r="110" spans="1:18" s="320" customFormat="1" ht="180" x14ac:dyDescent="0.25">
      <c r="A110" s="7" t="s">
        <v>338</v>
      </c>
      <c r="B110" s="7" t="s">
        <v>339</v>
      </c>
      <c r="C110" s="7" t="s">
        <v>340</v>
      </c>
      <c r="D110" s="100" t="s">
        <v>78</v>
      </c>
      <c r="E110" s="100" t="s">
        <v>78</v>
      </c>
      <c r="F110" s="333" t="str">
        <f>HYPERLINK("#'Resource Efficiency'!A8:Q8","R121
R12")</f>
        <v>R121
R12</v>
      </c>
      <c r="G110" s="7" t="s">
        <v>78</v>
      </c>
      <c r="H110" s="11" t="s">
        <v>329</v>
      </c>
      <c r="I110" s="7" t="s">
        <v>78</v>
      </c>
      <c r="J110" s="7"/>
      <c r="K110" s="100" t="s">
        <v>337</v>
      </c>
      <c r="L110" s="7" t="s">
        <v>105</v>
      </c>
      <c r="M110" s="7"/>
      <c r="N110" s="7" t="s">
        <v>1132</v>
      </c>
      <c r="O110" s="7" t="s">
        <v>1176</v>
      </c>
      <c r="P110" s="7"/>
      <c r="Q110" s="7">
        <v>0.5</v>
      </c>
      <c r="R110" s="7" t="s">
        <v>1527</v>
      </c>
    </row>
    <row r="111" spans="1:18" s="320" customFormat="1" ht="55.9" customHeight="1" x14ac:dyDescent="0.25">
      <c r="A111" s="7" t="s">
        <v>341</v>
      </c>
      <c r="B111" s="7" t="s">
        <v>1122</v>
      </c>
      <c r="C111" s="7" t="s">
        <v>342</v>
      </c>
      <c r="D111" s="100" t="s">
        <v>78</v>
      </c>
      <c r="E111" s="100" t="s">
        <v>78</v>
      </c>
      <c r="F111" s="333" t="str">
        <f>HYPERLINK("#'Resource Efficiency'!A8:Q8","R121")</f>
        <v>R121</v>
      </c>
      <c r="G111" s="7" t="s">
        <v>78</v>
      </c>
      <c r="H111" s="11" t="s">
        <v>329</v>
      </c>
      <c r="I111" s="7" t="s">
        <v>78</v>
      </c>
      <c r="J111" s="7"/>
      <c r="K111" s="100" t="s">
        <v>337</v>
      </c>
      <c r="L111" s="7" t="s">
        <v>105</v>
      </c>
      <c r="M111" s="7"/>
      <c r="N111" s="7" t="s">
        <v>1132</v>
      </c>
      <c r="O111" s="7" t="s">
        <v>1176</v>
      </c>
      <c r="P111" s="7"/>
      <c r="Q111" s="7" t="s">
        <v>1494</v>
      </c>
      <c r="R111" s="7"/>
    </row>
    <row r="112" spans="1:18" s="320" customFormat="1" ht="60" x14ac:dyDescent="0.25">
      <c r="A112" s="7" t="s">
        <v>368</v>
      </c>
      <c r="B112" s="7" t="s">
        <v>369</v>
      </c>
      <c r="C112" s="7" t="s">
        <v>370</v>
      </c>
      <c r="D112" s="100" t="s">
        <v>78</v>
      </c>
      <c r="E112" s="100" t="s">
        <v>78</v>
      </c>
      <c r="F112" s="333" t="str">
        <f>HYPERLINK("#'Resource Efficiency'!A18:Q18","R212")</f>
        <v>R212</v>
      </c>
      <c r="G112" s="7" t="s">
        <v>78</v>
      </c>
      <c r="H112" s="11" t="s">
        <v>371</v>
      </c>
      <c r="I112" s="7" t="s">
        <v>78</v>
      </c>
      <c r="J112" s="7"/>
      <c r="K112" s="100">
        <v>5</v>
      </c>
      <c r="L112" s="7" t="s">
        <v>105</v>
      </c>
      <c r="M112" s="7"/>
      <c r="N112" s="7" t="s">
        <v>1130</v>
      </c>
      <c r="O112" s="7" t="s">
        <v>1176</v>
      </c>
      <c r="P112" s="7"/>
      <c r="Q112" s="7"/>
      <c r="R112" s="7"/>
    </row>
    <row r="113" spans="1:18" s="320" customFormat="1" ht="30" x14ac:dyDescent="0.25">
      <c r="A113" s="7" t="s">
        <v>372</v>
      </c>
      <c r="B113" s="7" t="s">
        <v>373</v>
      </c>
      <c r="C113" s="7" t="s">
        <v>374</v>
      </c>
      <c r="D113" s="100" t="s">
        <v>78</v>
      </c>
      <c r="E113" s="100" t="s">
        <v>78</v>
      </c>
      <c r="F113" s="333" t="str">
        <f>HYPERLINK("#'Resource Efficiency'!A17:Q17","R211
R212")</f>
        <v>R211
R212</v>
      </c>
      <c r="G113" s="7" t="s">
        <v>78</v>
      </c>
      <c r="H113" s="11" t="s">
        <v>371</v>
      </c>
      <c r="I113" s="7" t="s">
        <v>78</v>
      </c>
      <c r="J113" s="7" t="s">
        <v>360</v>
      </c>
      <c r="K113" s="100">
        <v>5</v>
      </c>
      <c r="L113" s="7" t="s">
        <v>105</v>
      </c>
      <c r="M113" s="7"/>
      <c r="N113" s="7" t="s">
        <v>1130</v>
      </c>
      <c r="O113" s="7" t="s">
        <v>1176</v>
      </c>
      <c r="P113" s="7"/>
      <c r="Q113" s="7"/>
      <c r="R113" s="7"/>
    </row>
    <row r="114" spans="1:18" s="320" customFormat="1" ht="30" x14ac:dyDescent="0.25">
      <c r="A114" s="7" t="s">
        <v>375</v>
      </c>
      <c r="B114" s="7" t="s">
        <v>376</v>
      </c>
      <c r="C114" s="7" t="s">
        <v>377</v>
      </c>
      <c r="D114" s="100" t="s">
        <v>78</v>
      </c>
      <c r="E114" s="100" t="s">
        <v>78</v>
      </c>
      <c r="F114" s="333" t="str">
        <f>HYPERLINK("#'Resource Efficiency'!A18:Q18","R212")</f>
        <v>R212</v>
      </c>
      <c r="G114" s="7" t="s">
        <v>78</v>
      </c>
      <c r="H114" s="11" t="s">
        <v>371</v>
      </c>
      <c r="I114" s="7" t="s">
        <v>78</v>
      </c>
      <c r="J114" s="7"/>
      <c r="K114" s="100">
        <v>5</v>
      </c>
      <c r="L114" s="7" t="s">
        <v>105</v>
      </c>
      <c r="M114" s="7"/>
      <c r="N114" s="7" t="s">
        <v>1130</v>
      </c>
      <c r="O114" s="7" t="s">
        <v>1176</v>
      </c>
      <c r="P114" s="7"/>
      <c r="Q114" s="7"/>
      <c r="R114" s="7"/>
    </row>
    <row r="115" spans="1:18" s="320" customFormat="1" x14ac:dyDescent="0.25">
      <c r="A115" s="7" t="s">
        <v>378</v>
      </c>
      <c r="B115" s="7" t="s">
        <v>1266</v>
      </c>
      <c r="C115" s="7" t="s">
        <v>1267</v>
      </c>
      <c r="D115" s="100"/>
      <c r="E115" s="100" t="s">
        <v>78</v>
      </c>
      <c r="F115" s="333" t="str">
        <f>HYPERLINK("#'Resource Efficiency'!A19:Q19","R213")</f>
        <v>R213</v>
      </c>
      <c r="G115" s="7"/>
      <c r="H115" s="11" t="s">
        <v>371</v>
      </c>
      <c r="I115" s="7"/>
      <c r="J115" s="7"/>
      <c r="K115" s="100">
        <v>5</v>
      </c>
      <c r="L115" s="7" t="s">
        <v>105</v>
      </c>
      <c r="M115" s="7"/>
      <c r="N115" s="7"/>
      <c r="O115" s="7" t="s">
        <v>1176</v>
      </c>
      <c r="P115" s="7"/>
      <c r="Q115" s="7"/>
      <c r="R115" s="7"/>
    </row>
    <row r="116" spans="1:18" s="320" customFormat="1" ht="45" x14ac:dyDescent="0.25">
      <c r="A116" s="7" t="s">
        <v>380</v>
      </c>
      <c r="B116" s="7" t="s">
        <v>1234</v>
      </c>
      <c r="C116" s="7" t="s">
        <v>1233</v>
      </c>
      <c r="D116" s="100" t="s">
        <v>78</v>
      </c>
      <c r="E116" s="100" t="s">
        <v>78</v>
      </c>
      <c r="F116" s="333" t="str">
        <f>HYPERLINK("#'Resource Efficiency'!A22:Q22","R222")</f>
        <v>R222</v>
      </c>
      <c r="G116" s="7"/>
      <c r="H116" s="11" t="s">
        <v>371</v>
      </c>
      <c r="I116" s="7" t="s">
        <v>78</v>
      </c>
      <c r="J116" s="7"/>
      <c r="K116" s="100">
        <v>5</v>
      </c>
      <c r="L116" s="7" t="s">
        <v>105</v>
      </c>
      <c r="M116" s="7" t="s">
        <v>1247</v>
      </c>
      <c r="N116" s="7"/>
      <c r="O116" s="7" t="s">
        <v>1176</v>
      </c>
      <c r="P116" s="7"/>
      <c r="Q116" s="7" t="s">
        <v>1494</v>
      </c>
      <c r="R116" s="7"/>
    </row>
    <row r="117" spans="1:18" s="320" customFormat="1" ht="45" x14ac:dyDescent="0.25">
      <c r="A117" s="7" t="s">
        <v>384</v>
      </c>
      <c r="B117" s="7" t="s">
        <v>1235</v>
      </c>
      <c r="C117" s="7" t="s">
        <v>1236</v>
      </c>
      <c r="D117" s="100" t="s">
        <v>78</v>
      </c>
      <c r="E117" s="100" t="s">
        <v>78</v>
      </c>
      <c r="F117" s="333" t="str">
        <f>HYPERLINK("#'Resource Efficiency'!A22:Q22","R222")</f>
        <v>R222</v>
      </c>
      <c r="G117" s="7"/>
      <c r="H117" s="11" t="s">
        <v>371</v>
      </c>
      <c r="I117" s="7" t="s">
        <v>78</v>
      </c>
      <c r="J117" s="7"/>
      <c r="K117" s="100">
        <v>5</v>
      </c>
      <c r="L117" s="7" t="s">
        <v>105</v>
      </c>
      <c r="M117" s="7" t="s">
        <v>1247</v>
      </c>
      <c r="N117" s="7"/>
      <c r="O117" s="7" t="s">
        <v>1176</v>
      </c>
      <c r="P117" s="7"/>
      <c r="Q117" s="7" t="s">
        <v>1494</v>
      </c>
      <c r="R117" s="7"/>
    </row>
    <row r="118" spans="1:18" s="320" customFormat="1" ht="105" x14ac:dyDescent="0.25">
      <c r="A118" s="7" t="s">
        <v>1237</v>
      </c>
      <c r="B118" s="7" t="s">
        <v>381</v>
      </c>
      <c r="C118" s="7" t="s">
        <v>382</v>
      </c>
      <c r="D118" s="100" t="s">
        <v>78</v>
      </c>
      <c r="E118" s="100" t="s">
        <v>78</v>
      </c>
      <c r="F118" s="333" t="str">
        <f>HYPERLINK("#'Resource Efficiency'!A22:Q22","R222
EC5")</f>
        <v>R222
EC5</v>
      </c>
      <c r="G118" s="7" t="s">
        <v>78</v>
      </c>
      <c r="H118" s="11" t="s">
        <v>383</v>
      </c>
      <c r="I118" s="7" t="s">
        <v>78</v>
      </c>
      <c r="J118" s="7"/>
      <c r="K118" s="100" t="s">
        <v>337</v>
      </c>
      <c r="L118" s="7" t="s">
        <v>105</v>
      </c>
      <c r="M118" s="7"/>
      <c r="N118" s="7" t="s">
        <v>1130</v>
      </c>
      <c r="O118" s="7" t="s">
        <v>1176</v>
      </c>
      <c r="P118" s="7"/>
      <c r="Q118" s="7"/>
      <c r="R118" s="7" t="s">
        <v>1637</v>
      </c>
    </row>
    <row r="119" spans="1:18" s="320" customFormat="1" ht="30" x14ac:dyDescent="0.25">
      <c r="A119" s="7" t="s">
        <v>1238</v>
      </c>
      <c r="B119" s="7" t="s">
        <v>1243</v>
      </c>
      <c r="C119" s="7" t="s">
        <v>1244</v>
      </c>
      <c r="D119" s="100" t="s">
        <v>78</v>
      </c>
      <c r="E119" s="100" t="s">
        <v>78</v>
      </c>
      <c r="F119" s="333" t="str">
        <f>HYPERLINK("#'Resource Efficiency'!A22:Q22","R222")</f>
        <v>R222</v>
      </c>
      <c r="G119" s="7" t="s">
        <v>78</v>
      </c>
      <c r="H119" s="11" t="s">
        <v>371</v>
      </c>
      <c r="I119" s="7" t="s">
        <v>78</v>
      </c>
      <c r="J119" s="7"/>
      <c r="K119" s="100" t="s">
        <v>337</v>
      </c>
      <c r="L119" s="7" t="s">
        <v>105</v>
      </c>
      <c r="M119" s="7"/>
      <c r="N119" s="7" t="s">
        <v>1130</v>
      </c>
      <c r="O119" s="7" t="s">
        <v>1176</v>
      </c>
      <c r="P119" s="7"/>
      <c r="Q119" s="7"/>
      <c r="R119" s="7"/>
    </row>
    <row r="120" spans="1:18" s="320" customFormat="1" ht="30" x14ac:dyDescent="0.25">
      <c r="A120" s="7" t="s">
        <v>1239</v>
      </c>
      <c r="B120" s="7" t="s">
        <v>1231</v>
      </c>
      <c r="C120" s="7" t="s">
        <v>379</v>
      </c>
      <c r="D120" s="100" t="s">
        <v>78</v>
      </c>
      <c r="E120" s="100" t="s">
        <v>78</v>
      </c>
      <c r="F120" s="333" t="str">
        <f>HYPERLINK("#'Resource Efficiency'!A23:Q23","R223")</f>
        <v>R223</v>
      </c>
      <c r="G120" s="7" t="s">
        <v>78</v>
      </c>
      <c r="H120" s="11" t="s">
        <v>371</v>
      </c>
      <c r="I120" s="7" t="s">
        <v>78</v>
      </c>
      <c r="J120" s="7" t="s">
        <v>1397</v>
      </c>
      <c r="K120" s="100" t="s">
        <v>337</v>
      </c>
      <c r="L120" s="7" t="s">
        <v>105</v>
      </c>
      <c r="M120" s="7"/>
      <c r="N120" s="7" t="s">
        <v>1129</v>
      </c>
      <c r="O120" s="7" t="s">
        <v>1176</v>
      </c>
      <c r="P120" s="7"/>
      <c r="Q120" s="7"/>
      <c r="R120" s="7"/>
    </row>
    <row r="121" spans="1:18" s="320" customFormat="1" ht="60" x14ac:dyDescent="0.25">
      <c r="A121" s="7" t="s">
        <v>1268</v>
      </c>
      <c r="B121" s="7" t="s">
        <v>1232</v>
      </c>
      <c r="C121" s="7" t="s">
        <v>1638</v>
      </c>
      <c r="D121" s="100" t="s">
        <v>78</v>
      </c>
      <c r="E121" s="100" t="s">
        <v>78</v>
      </c>
      <c r="F121" s="333" t="str">
        <f>HYPERLINK("#'Resource Efficiency'!A22:Q22","R222
R223")</f>
        <v>R222
R223</v>
      </c>
      <c r="G121" s="7" t="s">
        <v>78</v>
      </c>
      <c r="H121" s="11" t="s">
        <v>371</v>
      </c>
      <c r="I121" s="7" t="s">
        <v>78</v>
      </c>
      <c r="J121" s="7" t="s">
        <v>1397</v>
      </c>
      <c r="K121" s="100" t="s">
        <v>337</v>
      </c>
      <c r="L121" s="7" t="s">
        <v>105</v>
      </c>
      <c r="M121" s="7"/>
      <c r="N121" s="7" t="s">
        <v>1129</v>
      </c>
      <c r="O121" s="7" t="s">
        <v>1176</v>
      </c>
      <c r="P121" s="7"/>
      <c r="Q121" s="7"/>
      <c r="R121" s="7"/>
    </row>
    <row r="122" spans="1:18" s="320" customFormat="1" ht="30" x14ac:dyDescent="0.25">
      <c r="A122" s="7" t="s">
        <v>1391</v>
      </c>
      <c r="B122" s="7" t="s">
        <v>1392</v>
      </c>
      <c r="C122" s="7" t="s">
        <v>1393</v>
      </c>
      <c r="D122" s="100" t="s">
        <v>78</v>
      </c>
      <c r="E122" s="100" t="s">
        <v>78</v>
      </c>
      <c r="F122" s="333" t="str">
        <f>HYPERLINK("#'Resource Efficiency'!A22:Q22","R222")</f>
        <v>R222</v>
      </c>
      <c r="G122" s="7" t="s">
        <v>78</v>
      </c>
      <c r="H122" s="11" t="s">
        <v>371</v>
      </c>
      <c r="I122" s="7" t="s">
        <v>78</v>
      </c>
      <c r="J122" s="7"/>
      <c r="K122" s="100" t="s">
        <v>337</v>
      </c>
      <c r="L122" s="7" t="s">
        <v>105</v>
      </c>
      <c r="M122" s="7"/>
      <c r="N122" s="7" t="s">
        <v>1130</v>
      </c>
      <c r="O122" s="7" t="s">
        <v>1176</v>
      </c>
      <c r="P122" s="7"/>
      <c r="Q122" s="7"/>
      <c r="R122" s="7"/>
    </row>
    <row r="123" spans="1:18" s="320" customFormat="1" ht="30" x14ac:dyDescent="0.25">
      <c r="A123" s="7" t="s">
        <v>413</v>
      </c>
      <c r="B123" s="7" t="s">
        <v>414</v>
      </c>
      <c r="C123" s="7" t="s">
        <v>415</v>
      </c>
      <c r="D123" s="100" t="s">
        <v>78</v>
      </c>
      <c r="E123" s="100" t="s">
        <v>78</v>
      </c>
      <c r="F123" s="333" t="str">
        <f>HYPERLINK("#'Resource Efficiency'!A37:Q37","R311")</f>
        <v>R311</v>
      </c>
      <c r="G123" s="7" t="s">
        <v>78</v>
      </c>
      <c r="H123" s="11" t="s">
        <v>416</v>
      </c>
      <c r="I123" s="7" t="s">
        <v>78</v>
      </c>
      <c r="J123" s="7" t="s">
        <v>1576</v>
      </c>
      <c r="K123" s="100" t="s">
        <v>337</v>
      </c>
      <c r="L123" s="7" t="s">
        <v>105</v>
      </c>
      <c r="M123" s="7"/>
      <c r="N123" s="7" t="s">
        <v>1130</v>
      </c>
      <c r="O123" s="7" t="s">
        <v>1176</v>
      </c>
      <c r="P123" s="7"/>
      <c r="Q123" s="7"/>
      <c r="R123" s="7"/>
    </row>
    <row r="124" spans="1:18" s="320" customFormat="1" ht="45" x14ac:dyDescent="0.25">
      <c r="A124" s="7" t="s">
        <v>417</v>
      </c>
      <c r="B124" s="7" t="s">
        <v>418</v>
      </c>
      <c r="C124" s="7" t="s">
        <v>419</v>
      </c>
      <c r="D124" s="100" t="s">
        <v>78</v>
      </c>
      <c r="E124" s="100" t="s">
        <v>78</v>
      </c>
      <c r="F124" s="333" t="str">
        <f>HYPERLINK("#'Resource Efficiency'!A37:Q37","R311
R312")</f>
        <v>R311
R312</v>
      </c>
      <c r="G124" s="7" t="s">
        <v>78</v>
      </c>
      <c r="H124" s="11" t="s">
        <v>416</v>
      </c>
      <c r="I124" s="7" t="s">
        <v>78</v>
      </c>
      <c r="J124" s="7" t="s">
        <v>1494</v>
      </c>
      <c r="K124" s="100" t="s">
        <v>337</v>
      </c>
      <c r="L124" s="7" t="s">
        <v>105</v>
      </c>
      <c r="M124" s="7"/>
      <c r="N124" s="7" t="s">
        <v>1130</v>
      </c>
      <c r="O124" s="7" t="s">
        <v>1176</v>
      </c>
      <c r="P124" s="7"/>
      <c r="Q124" s="7"/>
      <c r="R124" s="7"/>
    </row>
    <row r="125" spans="1:18" s="320" customFormat="1" ht="30" x14ac:dyDescent="0.25">
      <c r="A125" s="7" t="s">
        <v>420</v>
      </c>
      <c r="B125" s="7" t="s">
        <v>421</v>
      </c>
      <c r="C125" s="7" t="s">
        <v>422</v>
      </c>
      <c r="D125" s="100" t="s">
        <v>78</v>
      </c>
      <c r="E125" s="100" t="s">
        <v>78</v>
      </c>
      <c r="F125" s="333" t="str">
        <f>HYPERLINK("#'Resource Efficiency'!A38:Q38","R312")</f>
        <v>R312</v>
      </c>
      <c r="G125" s="7" t="s">
        <v>78</v>
      </c>
      <c r="H125" s="11" t="s">
        <v>416</v>
      </c>
      <c r="I125" s="7" t="s">
        <v>78</v>
      </c>
      <c r="J125" s="7" t="s">
        <v>1555</v>
      </c>
      <c r="K125" s="100" t="s">
        <v>337</v>
      </c>
      <c r="L125" s="7" t="s">
        <v>105</v>
      </c>
      <c r="M125" s="7"/>
      <c r="N125" s="7" t="s">
        <v>1130</v>
      </c>
      <c r="O125" s="7" t="s">
        <v>1176</v>
      </c>
      <c r="P125" s="7"/>
      <c r="Q125" s="7"/>
      <c r="R125" s="7"/>
    </row>
    <row r="126" spans="1:18" s="320" customFormat="1" ht="135" x14ac:dyDescent="0.25">
      <c r="A126" s="7" t="s">
        <v>424</v>
      </c>
      <c r="B126" s="7" t="s">
        <v>425</v>
      </c>
      <c r="C126" s="7" t="s">
        <v>1160</v>
      </c>
      <c r="D126" s="100" t="s">
        <v>78</v>
      </c>
      <c r="E126" s="100" t="s">
        <v>78</v>
      </c>
      <c r="F126" s="333" t="str">
        <f>HYPERLINK("#'Resource Efficiency'!A39:Q39","R32")</f>
        <v>R32</v>
      </c>
      <c r="G126" s="7" t="s">
        <v>78</v>
      </c>
      <c r="H126" s="11" t="s">
        <v>416</v>
      </c>
      <c r="I126" s="7" t="s">
        <v>78</v>
      </c>
      <c r="J126" s="7" t="s">
        <v>1639</v>
      </c>
      <c r="K126" s="100" t="s">
        <v>337</v>
      </c>
      <c r="L126" s="7" t="s">
        <v>105</v>
      </c>
      <c r="M126" s="7"/>
      <c r="N126" s="7" t="s">
        <v>1130</v>
      </c>
      <c r="O126" s="7" t="s">
        <v>1176</v>
      </c>
      <c r="P126" s="7"/>
      <c r="Q126" s="7"/>
      <c r="R126" s="7" t="s">
        <v>1640</v>
      </c>
    </row>
    <row r="127" spans="1:18" s="320" customFormat="1" ht="90" x14ac:dyDescent="0.25">
      <c r="A127" s="7" t="s">
        <v>426</v>
      </c>
      <c r="B127" s="7" t="s">
        <v>427</v>
      </c>
      <c r="C127" s="7" t="s">
        <v>428</v>
      </c>
      <c r="D127" s="100" t="s">
        <v>78</v>
      </c>
      <c r="E127" s="100" t="s">
        <v>78</v>
      </c>
      <c r="F127" s="333" t="str">
        <f>HYPERLINK("#'Resource Efficiency'!A40:Q40","R33")</f>
        <v>R33</v>
      </c>
      <c r="G127" s="7" t="s">
        <v>78</v>
      </c>
      <c r="H127" s="11" t="s">
        <v>416</v>
      </c>
      <c r="I127" s="7" t="s">
        <v>78</v>
      </c>
      <c r="J127" s="7" t="s">
        <v>1577</v>
      </c>
      <c r="K127" s="100" t="s">
        <v>337</v>
      </c>
      <c r="L127" s="7" t="s">
        <v>105</v>
      </c>
      <c r="M127" s="7"/>
      <c r="N127" s="7" t="s">
        <v>1130</v>
      </c>
      <c r="O127" s="7" t="s">
        <v>1176</v>
      </c>
      <c r="P127" s="7"/>
      <c r="Q127" s="7"/>
      <c r="R127" s="7" t="s">
        <v>1641</v>
      </c>
    </row>
    <row r="128" spans="1:18" s="327" customFormat="1" ht="30" x14ac:dyDescent="0.25">
      <c r="A128" s="321" t="s">
        <v>779</v>
      </c>
      <c r="B128" s="322" t="s">
        <v>780</v>
      </c>
      <c r="C128" s="322" t="s">
        <v>781</v>
      </c>
      <c r="D128" s="323" t="s">
        <v>78</v>
      </c>
      <c r="E128" s="323" t="s">
        <v>78</v>
      </c>
      <c r="F128" s="334" t="str">
        <f>HYPERLINK("#'Social Impact'!A4:Q4","S11
S12")</f>
        <v>S11
S12</v>
      </c>
      <c r="G128" s="323" t="s">
        <v>78</v>
      </c>
      <c r="H128" s="325" t="s">
        <v>65</v>
      </c>
      <c r="I128" s="322" t="s">
        <v>78</v>
      </c>
      <c r="J128" s="324"/>
      <c r="K128" s="324">
        <v>5</v>
      </c>
      <c r="L128" s="322" t="s">
        <v>105</v>
      </c>
      <c r="M128" s="326"/>
      <c r="N128" s="326" t="s">
        <v>1129</v>
      </c>
      <c r="O128" s="326" t="s">
        <v>1176</v>
      </c>
      <c r="P128" s="326"/>
      <c r="Q128" s="326"/>
      <c r="R128" s="322"/>
    </row>
    <row r="129" spans="1:18" s="327" customFormat="1" ht="45" x14ac:dyDescent="0.25">
      <c r="A129" s="321" t="s">
        <v>782</v>
      </c>
      <c r="B129" s="322" t="s">
        <v>783</v>
      </c>
      <c r="C129" s="322" t="s">
        <v>1642</v>
      </c>
      <c r="D129" s="323" t="s">
        <v>78</v>
      </c>
      <c r="E129" s="323" t="s">
        <v>78</v>
      </c>
      <c r="F129" s="334" t="str">
        <f>HYPERLINK("#'Social Impact'!A4:Q4","S11")</f>
        <v>S11</v>
      </c>
      <c r="G129" s="323" t="s">
        <v>78</v>
      </c>
      <c r="H129" s="325" t="s">
        <v>65</v>
      </c>
      <c r="I129" s="322" t="s">
        <v>78</v>
      </c>
      <c r="J129" s="324"/>
      <c r="K129" s="324">
        <v>5</v>
      </c>
      <c r="L129" s="322" t="s">
        <v>105</v>
      </c>
      <c r="M129" s="326"/>
      <c r="N129" s="326" t="s">
        <v>1129</v>
      </c>
      <c r="O129" s="326" t="s">
        <v>1176</v>
      </c>
      <c r="P129" s="326"/>
      <c r="Q129" s="326"/>
      <c r="R129" s="322"/>
    </row>
    <row r="130" spans="1:18" s="327" customFormat="1" ht="30" x14ac:dyDescent="0.25">
      <c r="A130" s="321" t="s">
        <v>784</v>
      </c>
      <c r="B130" s="322" t="s">
        <v>785</v>
      </c>
      <c r="C130" s="322" t="s">
        <v>1462</v>
      </c>
      <c r="D130" s="323" t="s">
        <v>78</v>
      </c>
      <c r="E130" s="323" t="s">
        <v>78</v>
      </c>
      <c r="F130" s="334" t="str">
        <f>HYPERLINK("#'Social Impact'!A5:Q5","S12")</f>
        <v>S12</v>
      </c>
      <c r="G130" s="323" t="s">
        <v>78</v>
      </c>
      <c r="H130" s="325" t="s">
        <v>65</v>
      </c>
      <c r="I130" s="322" t="s">
        <v>78</v>
      </c>
      <c r="J130" s="324"/>
      <c r="K130" s="324">
        <v>5</v>
      </c>
      <c r="L130" s="322" t="s">
        <v>105</v>
      </c>
      <c r="M130" s="326"/>
      <c r="N130" s="326" t="s">
        <v>1129</v>
      </c>
      <c r="O130" s="326" t="s">
        <v>1176</v>
      </c>
      <c r="P130" s="326"/>
      <c r="Q130" s="326"/>
      <c r="R130" s="322"/>
    </row>
    <row r="131" spans="1:18" s="327" customFormat="1" ht="17.45" customHeight="1" x14ac:dyDescent="0.25">
      <c r="A131" s="321" t="s">
        <v>797</v>
      </c>
      <c r="B131" s="322" t="s">
        <v>798</v>
      </c>
      <c r="C131" s="322" t="s">
        <v>799</v>
      </c>
      <c r="D131" s="323" t="s">
        <v>78</v>
      </c>
      <c r="E131" s="323" t="s">
        <v>78</v>
      </c>
      <c r="F131" s="334" t="str">
        <f>HYPERLINK("#'Social Impact'!A10:Q10","S21")</f>
        <v>S21</v>
      </c>
      <c r="G131" s="323" t="s">
        <v>78</v>
      </c>
      <c r="H131" s="325" t="s">
        <v>655</v>
      </c>
      <c r="I131" s="322" t="s">
        <v>78</v>
      </c>
      <c r="J131" s="324" t="s">
        <v>1450</v>
      </c>
      <c r="K131" s="324">
        <v>5</v>
      </c>
      <c r="L131" s="322" t="s">
        <v>105</v>
      </c>
      <c r="M131" s="326"/>
      <c r="N131" s="326" t="s">
        <v>1131</v>
      </c>
      <c r="O131" s="326" t="s">
        <v>1176</v>
      </c>
      <c r="P131" s="326"/>
      <c r="Q131" s="326"/>
      <c r="R131" s="322"/>
    </row>
    <row r="132" spans="1:18" s="328" customFormat="1" ht="32.1" customHeight="1" x14ac:dyDescent="0.25">
      <c r="A132" s="321" t="s">
        <v>800</v>
      </c>
      <c r="B132" s="322" t="s">
        <v>801</v>
      </c>
      <c r="C132" s="322" t="s">
        <v>802</v>
      </c>
      <c r="D132" s="323" t="s">
        <v>78</v>
      </c>
      <c r="E132" s="323" t="s">
        <v>78</v>
      </c>
      <c r="F132" s="334" t="str">
        <f>HYPERLINK("#'Social Impact'!A10:Q10","S21")</f>
        <v>S21</v>
      </c>
      <c r="G132" s="323" t="s">
        <v>78</v>
      </c>
      <c r="H132" s="325" t="s">
        <v>65</v>
      </c>
      <c r="I132" s="322" t="s">
        <v>78</v>
      </c>
      <c r="J132" s="324"/>
      <c r="K132" s="324">
        <v>5</v>
      </c>
      <c r="L132" s="322" t="s">
        <v>105</v>
      </c>
      <c r="M132" s="326"/>
      <c r="N132" s="326" t="s">
        <v>1131</v>
      </c>
      <c r="O132" s="326" t="s">
        <v>1176</v>
      </c>
      <c r="P132" s="326"/>
      <c r="Q132" s="326"/>
      <c r="R132" s="322"/>
    </row>
    <row r="133" spans="1:18" s="328" customFormat="1" ht="32.1" customHeight="1" x14ac:dyDescent="0.25">
      <c r="A133" s="321" t="s">
        <v>803</v>
      </c>
      <c r="B133" s="322" t="s">
        <v>804</v>
      </c>
      <c r="C133" s="322" t="s">
        <v>805</v>
      </c>
      <c r="D133" s="323" t="s">
        <v>78</v>
      </c>
      <c r="E133" s="323" t="s">
        <v>78</v>
      </c>
      <c r="F133" s="334" t="str">
        <f>HYPERLINK("#'Social Impact'!A11:Q11","S22")</f>
        <v>S22</v>
      </c>
      <c r="G133" s="323" t="s">
        <v>78</v>
      </c>
      <c r="H133" s="325" t="s">
        <v>65</v>
      </c>
      <c r="I133" s="322" t="s">
        <v>78</v>
      </c>
      <c r="J133" s="324"/>
      <c r="K133" s="324">
        <v>5</v>
      </c>
      <c r="L133" s="322" t="s">
        <v>105</v>
      </c>
      <c r="M133" s="326"/>
      <c r="N133" s="326" t="s">
        <v>1131</v>
      </c>
      <c r="O133" s="326" t="s">
        <v>1176</v>
      </c>
      <c r="P133" s="326"/>
      <c r="Q133" s="326"/>
      <c r="R133" s="322"/>
    </row>
    <row r="134" spans="1:18" s="327" customFormat="1" ht="29.1" customHeight="1" x14ac:dyDescent="0.25">
      <c r="A134" s="321" t="s">
        <v>806</v>
      </c>
      <c r="B134" s="322" t="s">
        <v>807</v>
      </c>
      <c r="C134" s="322" t="s">
        <v>808</v>
      </c>
      <c r="D134" s="323" t="s">
        <v>78</v>
      </c>
      <c r="E134" s="323" t="s">
        <v>78</v>
      </c>
      <c r="F134" s="334" t="str">
        <f>HYPERLINK("#'Social Impact'!A11:Q11","S22")</f>
        <v>S22</v>
      </c>
      <c r="G134" s="323" t="s">
        <v>78</v>
      </c>
      <c r="H134" s="325" t="s">
        <v>65</v>
      </c>
      <c r="I134" s="322" t="s">
        <v>78</v>
      </c>
      <c r="J134" s="324" t="s">
        <v>1437</v>
      </c>
      <c r="K134" s="324">
        <v>5</v>
      </c>
      <c r="L134" s="322" t="s">
        <v>105</v>
      </c>
      <c r="M134" s="326"/>
      <c r="N134" s="326" t="s">
        <v>1131</v>
      </c>
      <c r="O134" s="326" t="s">
        <v>1176</v>
      </c>
      <c r="P134" s="326"/>
      <c r="Q134" s="326"/>
      <c r="R134" s="322"/>
    </row>
    <row r="135" spans="1:18" s="327" customFormat="1" ht="30" x14ac:dyDescent="0.25">
      <c r="A135" s="321" t="s">
        <v>817</v>
      </c>
      <c r="B135" s="322" t="s">
        <v>818</v>
      </c>
      <c r="C135" s="322" t="s">
        <v>819</v>
      </c>
      <c r="D135" s="323" t="s">
        <v>78</v>
      </c>
      <c r="E135" s="323" t="s">
        <v>78</v>
      </c>
      <c r="F135" s="334" t="str">
        <f>HYPERLINK("#'Social Impact'!A16:Q16","S23")</f>
        <v>S23</v>
      </c>
      <c r="G135" s="323" t="s">
        <v>78</v>
      </c>
      <c r="H135" s="325" t="s">
        <v>820</v>
      </c>
      <c r="I135" s="322" t="s">
        <v>78</v>
      </c>
      <c r="J135" s="324"/>
      <c r="K135" s="324">
        <v>5</v>
      </c>
      <c r="L135" s="322" t="s">
        <v>105</v>
      </c>
      <c r="M135" s="326"/>
      <c r="N135" s="326" t="s">
        <v>1131</v>
      </c>
      <c r="O135" s="326" t="s">
        <v>1176</v>
      </c>
      <c r="P135" s="326"/>
      <c r="Q135" s="326"/>
      <c r="R135" s="322"/>
    </row>
    <row r="136" spans="1:18" s="327" customFormat="1" ht="60" x14ac:dyDescent="0.25">
      <c r="A136" s="321" t="s">
        <v>821</v>
      </c>
      <c r="B136" s="322" t="s">
        <v>822</v>
      </c>
      <c r="C136" s="322" t="s">
        <v>1643</v>
      </c>
      <c r="D136" s="323" t="s">
        <v>78</v>
      </c>
      <c r="E136" s="323" t="s">
        <v>78</v>
      </c>
      <c r="F136" s="334" t="str">
        <f>HYPERLINK("#'Social Impact'!A16:Q16","S23
S24")</f>
        <v>S23
S24</v>
      </c>
      <c r="G136" s="323" t="s">
        <v>78</v>
      </c>
      <c r="H136" s="325" t="s">
        <v>65</v>
      </c>
      <c r="I136" s="322" t="s">
        <v>78</v>
      </c>
      <c r="J136" s="324"/>
      <c r="K136" s="324">
        <v>5</v>
      </c>
      <c r="L136" s="322" t="s">
        <v>105</v>
      </c>
      <c r="M136" s="326"/>
      <c r="N136" s="326" t="s">
        <v>1131</v>
      </c>
      <c r="O136" s="326" t="s">
        <v>1176</v>
      </c>
      <c r="P136" s="326"/>
      <c r="Q136" s="326"/>
      <c r="R136" s="322"/>
    </row>
    <row r="137" spans="1:18" s="327" customFormat="1" ht="30" x14ac:dyDescent="0.25">
      <c r="A137" s="321" t="s">
        <v>823</v>
      </c>
      <c r="B137" s="322" t="s">
        <v>824</v>
      </c>
      <c r="C137" s="322" t="s">
        <v>825</v>
      </c>
      <c r="D137" s="323" t="s">
        <v>78</v>
      </c>
      <c r="E137" s="323" t="s">
        <v>78</v>
      </c>
      <c r="F137" s="334" t="str">
        <f>HYPERLINK("#'Social Impact'!A17:Q17","S24")</f>
        <v>S24</v>
      </c>
      <c r="G137" s="323" t="s">
        <v>78</v>
      </c>
      <c r="H137" s="325" t="s">
        <v>655</v>
      </c>
      <c r="I137" s="322" t="s">
        <v>78</v>
      </c>
      <c r="J137" s="324"/>
      <c r="K137" s="324">
        <v>5</v>
      </c>
      <c r="L137" s="322" t="s">
        <v>105</v>
      </c>
      <c r="M137" s="326"/>
      <c r="N137" s="326" t="s">
        <v>1131</v>
      </c>
      <c r="O137" s="326" t="s">
        <v>1176</v>
      </c>
      <c r="P137" s="326"/>
      <c r="Q137" s="326"/>
      <c r="R137" s="322"/>
    </row>
    <row r="138" spans="1:18" s="327" customFormat="1" ht="30" x14ac:dyDescent="0.25">
      <c r="A138" s="321" t="s">
        <v>844</v>
      </c>
      <c r="B138" s="322" t="s">
        <v>845</v>
      </c>
      <c r="C138" s="322" t="s">
        <v>1644</v>
      </c>
      <c r="D138" s="323" t="s">
        <v>78</v>
      </c>
      <c r="E138" s="323" t="s">
        <v>78</v>
      </c>
      <c r="F138" s="334" t="str">
        <f>HYPERLINK("#'Social Impact'!A22:Q22","S31")</f>
        <v>S31</v>
      </c>
      <c r="G138" s="323" t="s">
        <v>78</v>
      </c>
      <c r="H138" s="325" t="s">
        <v>655</v>
      </c>
      <c r="I138" s="322" t="s">
        <v>78</v>
      </c>
      <c r="J138" s="324" t="s">
        <v>1545</v>
      </c>
      <c r="K138" s="324">
        <v>5</v>
      </c>
      <c r="L138" s="322" t="s">
        <v>105</v>
      </c>
      <c r="M138" s="326"/>
      <c r="N138" s="326" t="s">
        <v>1130</v>
      </c>
      <c r="O138" s="326" t="s">
        <v>1176</v>
      </c>
      <c r="P138" s="326"/>
      <c r="Q138" s="326"/>
      <c r="R138" s="322"/>
    </row>
    <row r="139" spans="1:18" s="327" customFormat="1" ht="50.25" customHeight="1" x14ac:dyDescent="0.25">
      <c r="A139" s="321" t="s">
        <v>846</v>
      </c>
      <c r="B139" s="322" t="s">
        <v>847</v>
      </c>
      <c r="C139" s="322" t="s">
        <v>848</v>
      </c>
      <c r="D139" s="323" t="s">
        <v>78</v>
      </c>
      <c r="E139" s="323" t="s">
        <v>78</v>
      </c>
      <c r="F139" s="334" t="str">
        <f>HYPERLINK("#'Social Impact'!A23:Q23","S31
S32
S33")</f>
        <v>S31
S32
S33</v>
      </c>
      <c r="G139" s="323" t="s">
        <v>78</v>
      </c>
      <c r="H139" s="325" t="s">
        <v>65</v>
      </c>
      <c r="I139" s="322" t="s">
        <v>78</v>
      </c>
      <c r="J139" s="324" t="s">
        <v>1444</v>
      </c>
      <c r="K139" s="324">
        <v>5</v>
      </c>
      <c r="L139" s="322" t="s">
        <v>105</v>
      </c>
      <c r="M139" s="326"/>
      <c r="N139" s="326" t="s">
        <v>1149</v>
      </c>
      <c r="O139" s="326" t="s">
        <v>1176</v>
      </c>
      <c r="P139" s="326"/>
      <c r="Q139" s="326"/>
      <c r="R139" s="322"/>
    </row>
    <row r="140" spans="1:18" s="327" customFormat="1" x14ac:dyDescent="0.25">
      <c r="A140" s="321" t="s">
        <v>849</v>
      </c>
      <c r="B140" s="322" t="s">
        <v>850</v>
      </c>
      <c r="C140" s="322" t="s">
        <v>851</v>
      </c>
      <c r="D140" s="323" t="s">
        <v>78</v>
      </c>
      <c r="E140" s="323" t="s">
        <v>78</v>
      </c>
      <c r="F140" s="334" t="str">
        <f>HYPERLINK("#'Social Impact'!A23:Q23","S32")</f>
        <v>S32</v>
      </c>
      <c r="G140" s="323" t="s">
        <v>78</v>
      </c>
      <c r="H140" s="325" t="s">
        <v>65</v>
      </c>
      <c r="I140" s="322" t="s">
        <v>78</v>
      </c>
      <c r="J140" s="324" t="s">
        <v>1443</v>
      </c>
      <c r="K140" s="324">
        <v>5</v>
      </c>
      <c r="L140" s="322" t="s">
        <v>105</v>
      </c>
      <c r="M140" s="326"/>
      <c r="N140" s="326" t="s">
        <v>1149</v>
      </c>
      <c r="O140" s="326" t="s">
        <v>1176</v>
      </c>
      <c r="P140" s="326"/>
      <c r="Q140" s="326"/>
      <c r="R140" s="322"/>
    </row>
    <row r="141" spans="1:18" s="327" customFormat="1" ht="60" x14ac:dyDescent="0.25">
      <c r="A141" s="321" t="s">
        <v>852</v>
      </c>
      <c r="B141" s="322" t="s">
        <v>853</v>
      </c>
      <c r="C141" s="322" t="s">
        <v>854</v>
      </c>
      <c r="D141" s="323" t="s">
        <v>78</v>
      </c>
      <c r="E141" s="323" t="s">
        <v>78</v>
      </c>
      <c r="F141" s="334" t="str">
        <f>HYPERLINK("#'Social Impact'!A24:Q24","S33")</f>
        <v>S33</v>
      </c>
      <c r="G141" s="323" t="s">
        <v>78</v>
      </c>
      <c r="H141" s="325" t="s">
        <v>65</v>
      </c>
      <c r="I141" s="322" t="s">
        <v>78</v>
      </c>
      <c r="J141" s="324" t="s">
        <v>1434</v>
      </c>
      <c r="K141" s="324">
        <v>5</v>
      </c>
      <c r="L141" s="322" t="s">
        <v>105</v>
      </c>
      <c r="M141" s="326"/>
      <c r="N141" s="326" t="s">
        <v>1130</v>
      </c>
      <c r="O141" s="326" t="s">
        <v>1176</v>
      </c>
      <c r="P141" s="326"/>
      <c r="Q141" s="326"/>
      <c r="R141" s="322"/>
    </row>
    <row r="142" spans="1:18" s="327" customFormat="1" ht="165" x14ac:dyDescent="0.25">
      <c r="A142" s="321" t="s">
        <v>1055</v>
      </c>
      <c r="B142" s="322" t="s">
        <v>1058</v>
      </c>
      <c r="C142" s="322" t="s">
        <v>1645</v>
      </c>
      <c r="D142" s="322"/>
      <c r="E142" s="323" t="s">
        <v>78</v>
      </c>
      <c r="F142" s="334" t="str">
        <f>HYPERLINK("#'Social Impact'!A29:Q29","S34")</f>
        <v>S34</v>
      </c>
      <c r="G142" s="323" t="s">
        <v>78</v>
      </c>
      <c r="H142" s="325" t="s">
        <v>94</v>
      </c>
      <c r="I142" s="322" t="s">
        <v>78</v>
      </c>
      <c r="J142" s="329"/>
      <c r="K142" s="324">
        <v>5</v>
      </c>
      <c r="L142" s="322" t="s">
        <v>105</v>
      </c>
      <c r="M142" s="322"/>
      <c r="N142" s="326" t="s">
        <v>1142</v>
      </c>
      <c r="O142" s="326" t="s">
        <v>1177</v>
      </c>
      <c r="P142" s="326"/>
      <c r="Q142" s="326">
        <v>0.33329999999999999</v>
      </c>
      <c r="R142" s="322" t="s">
        <v>1646</v>
      </c>
    </row>
    <row r="143" spans="1:18" s="327" customFormat="1" ht="135" x14ac:dyDescent="0.25">
      <c r="A143" s="321" t="s">
        <v>1056</v>
      </c>
      <c r="B143" s="322" t="s">
        <v>1059</v>
      </c>
      <c r="C143" s="322" t="s">
        <v>1647</v>
      </c>
      <c r="D143" s="322"/>
      <c r="E143" s="323" t="s">
        <v>78</v>
      </c>
      <c r="F143" s="334" t="str">
        <f>HYPERLINK("#'Social Impact'!A29:Q29","S34")</f>
        <v>S34</v>
      </c>
      <c r="G143" s="323" t="s">
        <v>78</v>
      </c>
      <c r="H143" s="325" t="s">
        <v>94</v>
      </c>
      <c r="I143" s="322" t="s">
        <v>78</v>
      </c>
      <c r="J143" s="329" t="s">
        <v>1433</v>
      </c>
      <c r="K143" s="324">
        <v>5</v>
      </c>
      <c r="L143" s="322" t="s">
        <v>105</v>
      </c>
      <c r="M143" s="322"/>
      <c r="N143" s="326" t="s">
        <v>1142</v>
      </c>
      <c r="O143" s="326" t="s">
        <v>1177</v>
      </c>
      <c r="P143" s="326"/>
      <c r="Q143" s="326">
        <v>0.33329999999999999</v>
      </c>
      <c r="R143" s="322" t="s">
        <v>1648</v>
      </c>
    </row>
    <row r="144" spans="1:18" s="327" customFormat="1" ht="135" x14ac:dyDescent="0.25">
      <c r="A144" s="322" t="s">
        <v>1057</v>
      </c>
      <c r="B144" s="322" t="s">
        <v>855</v>
      </c>
      <c r="C144" s="322" t="s">
        <v>1649</v>
      </c>
      <c r="D144" s="322"/>
      <c r="E144" s="323" t="s">
        <v>78</v>
      </c>
      <c r="F144" s="334" t="str">
        <f>HYPERLINK("#'Social Impact'!A29:Q29","S34")</f>
        <v>S34</v>
      </c>
      <c r="G144" s="323" t="s">
        <v>78</v>
      </c>
      <c r="H144" s="325" t="s">
        <v>65</v>
      </c>
      <c r="I144" s="322" t="s">
        <v>78</v>
      </c>
      <c r="J144" s="329" t="s">
        <v>1435</v>
      </c>
      <c r="K144" s="324">
        <v>5</v>
      </c>
      <c r="L144" s="322" t="s">
        <v>105</v>
      </c>
      <c r="M144" s="322"/>
      <c r="N144" s="322" t="s">
        <v>1142</v>
      </c>
      <c r="O144" s="322" t="s">
        <v>1177</v>
      </c>
      <c r="P144" s="322"/>
      <c r="Q144" s="322">
        <v>0.33339999999999997</v>
      </c>
      <c r="R144" s="322" t="s">
        <v>1650</v>
      </c>
    </row>
    <row r="145" spans="1:18" s="327" customFormat="1" x14ac:dyDescent="0.25">
      <c r="A145" s="321" t="s">
        <v>1375</v>
      </c>
      <c r="B145" s="322" t="s">
        <v>1376</v>
      </c>
      <c r="C145" s="322" t="s">
        <v>1377</v>
      </c>
      <c r="D145" s="322" t="s">
        <v>78</v>
      </c>
      <c r="E145" s="323" t="s">
        <v>78</v>
      </c>
      <c r="F145" s="334" t="s">
        <v>1372</v>
      </c>
      <c r="G145" s="323" t="s">
        <v>78</v>
      </c>
      <c r="H145" s="325" t="s">
        <v>65</v>
      </c>
      <c r="I145" s="322" t="s">
        <v>78</v>
      </c>
      <c r="J145" s="329"/>
      <c r="K145" s="324" t="s">
        <v>337</v>
      </c>
      <c r="L145" s="322" t="s">
        <v>105</v>
      </c>
      <c r="M145" s="322"/>
      <c r="N145" s="326" t="s">
        <v>1132</v>
      </c>
      <c r="O145" s="326" t="s">
        <v>1176</v>
      </c>
      <c r="P145" s="326">
        <v>500</v>
      </c>
      <c r="Q145" s="326"/>
      <c r="R145" s="322"/>
    </row>
    <row r="146" spans="1:18" s="327" customFormat="1" ht="30" x14ac:dyDescent="0.25">
      <c r="A146" s="404" t="s">
        <v>1467</v>
      </c>
      <c r="B146" s="404" t="s">
        <v>1468</v>
      </c>
      <c r="C146" s="404" t="s">
        <v>1469</v>
      </c>
      <c r="D146" s="404" t="s">
        <v>78</v>
      </c>
      <c r="E146" s="405" t="s">
        <v>78</v>
      </c>
      <c r="F146" s="406" t="s">
        <v>1092</v>
      </c>
      <c r="G146" s="405" t="s">
        <v>78</v>
      </c>
      <c r="H146" s="407" t="s">
        <v>329</v>
      </c>
      <c r="I146" s="404" t="s">
        <v>78</v>
      </c>
      <c r="J146" s="408"/>
      <c r="K146" s="409">
        <v>5</v>
      </c>
      <c r="L146" s="404" t="s">
        <v>105</v>
      </c>
      <c r="M146" s="404"/>
      <c r="N146" s="404" t="s">
        <v>1132</v>
      </c>
      <c r="O146" s="404" t="s">
        <v>1176</v>
      </c>
      <c r="P146" s="404"/>
      <c r="Q146" s="404" t="s">
        <v>1494</v>
      </c>
      <c r="R146" s="404"/>
    </row>
  </sheetData>
  <pageMargins left="0.7" right="0.7" top="0.78740157499999996" bottom="0.78740157499999996" header="0.3" footer="0.3"/>
  <pageSetup orientation="portrait" horizontalDpi="1200" verticalDpi="1200"/>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8DD1C-372F-4BAD-99E0-E353FDFEFF51}">
  <sheetPr>
    <tabColor theme="0"/>
  </sheetPr>
  <dimension ref="A1:F105"/>
  <sheetViews>
    <sheetView topLeftCell="A86" zoomScaleNormal="100" workbookViewId="0">
      <selection activeCell="F102" sqref="F102"/>
    </sheetView>
  </sheetViews>
  <sheetFormatPr defaultColWidth="11.42578125" defaultRowHeight="15" x14ac:dyDescent="0.25"/>
  <cols>
    <col min="1" max="1" width="42" style="2" customWidth="1"/>
    <col min="2" max="2" width="103" style="2" customWidth="1"/>
    <col min="3" max="3" width="12" customWidth="1"/>
    <col min="4" max="4" width="21.140625" customWidth="1"/>
    <col min="5" max="5" width="32.28515625" customWidth="1"/>
    <col min="6" max="6" width="30.5703125" style="2" customWidth="1"/>
  </cols>
  <sheetData>
    <row r="1" spans="1:6" x14ac:dyDescent="0.25">
      <c r="A1" s="2" t="s">
        <v>856</v>
      </c>
      <c r="B1" s="2" t="s">
        <v>8</v>
      </c>
      <c r="C1" t="s">
        <v>857</v>
      </c>
      <c r="D1" t="s">
        <v>858</v>
      </c>
      <c r="E1" t="s">
        <v>859</v>
      </c>
      <c r="F1" s="2" t="s">
        <v>75</v>
      </c>
    </row>
    <row r="2" spans="1:6" ht="60" x14ac:dyDescent="0.25">
      <c r="A2" s="192" t="s">
        <v>1440</v>
      </c>
      <c r="B2" s="192" t="inlineStr">
        <is>
          <t xml:space="preserve">Sets out what an entity must disclose about its climate-related risks and opportunities, aimed at readers of general purpose financial reports. IFRS S2 Climate-related Disclosures.</t>
        </is>
      </c>
      <c r="C2" s="191" t="s">
        <v>1440</v>
      </c>
      <c r="D2" s="191" t="s">
        <v>862</v>
      </c>
      <c r="E2" s="335" t="s">
        <v>1441</v>
      </c>
      <c r="F2" s="192"/>
    </row>
    <row r="3" spans="1:6" ht="120" x14ac:dyDescent="0.25">
      <c r="A3" s="192" t="s">
        <v>860</v>
      </c>
      <c r="B3" s="192" t="inlineStr">
        <is>
          <t xml:space="preserve">Industry-specific guidance for applying IFRS S1, used where no IFRS Sustainability Disclosure Standard covers the topic. The standards name the sustainability risks and opportunities that matter most to investors in 77 industries. The independent SASB Standards Board approves them.</t>
        </is>
      </c>
      <c r="C3" s="191" t="s">
        <v>23</v>
      </c>
      <c r="D3" s="191" t="s">
        <v>862</v>
      </c>
      <c r="E3" s="335" t="s">
        <v>863</v>
      </c>
      <c r="F3" s="192" t="s">
        <v>864</v>
      </c>
    </row>
    <row r="4" spans="1:6" ht="75" x14ac:dyDescent="0.25">
      <c r="A4" s="192" t="s">
        <v>1409</v>
      </c>
      <c r="B4" s="192" t="inlineStr">
        <is>
          <t xml:space="preserve">Containers and packaging entities convert metal, plastic, paper and glass into packaging products such as corrugated cardboard, aluminium cans and steel drums. Most sell business to business, and many operate globally.</t>
        </is>
      </c>
      <c r="C4" s="191" t="s">
        <v>1407</v>
      </c>
      <c r="D4" s="191" t="s">
        <v>862</v>
      </c>
      <c r="E4" s="335" t="s">
        <v>1408</v>
      </c>
      <c r="F4" s="192"/>
    </row>
    <row r="5" spans="1:6" ht="105" x14ac:dyDescent="0.25">
      <c r="A5" s="192" t="s">
        <v>1413</v>
      </c>
      <c r="B5" s="192" t="inlineStr">
        <is>
          <t xml:space="preserve">Industrial machinery and goods entities build equipment for construction, agriculture, energy, mining and transportation, including engines, pumps and turbines. Production consumes large amounts of steel, plastics, rubber and glass. Demand tracks industrial production, and emissions rules push efficiency improvements in the use phase.</t>
        </is>
      </c>
      <c r="C5" s="191" t="s">
        <v>1411</v>
      </c>
      <c r="D5" s="191" t="s">
        <v>862</v>
      </c>
      <c r="E5" s="335" t="s">
        <v>1412</v>
      </c>
      <c r="F5" s="192"/>
    </row>
    <row r="6" spans="1:6" ht="135" x14ac:dyDescent="0.25">
      <c r="A6" s="192" t="s">
        <v>1417</v>
      </c>
      <c r="B6" s="192" t="inlineStr">
        <is>
          <t xml:space="preserve">Electrical and electronic equipment entities make power generation equipment, transformers, motors, switchboards, automation controls and cables. The scope covers building equipment such as HVAC systems and elevators, plus components like coils and wires. These entities compete globally and earn much of their revenue outside their home country.</t>
        </is>
      </c>
      <c r="C6" s="191" t="s">
        <v>1418</v>
      </c>
      <c r="D6" s="191" t="s">
        <v>862</v>
      </c>
      <c r="E6" s="335" t="s">
        <v>1414</v>
      </c>
      <c r="F6" s="192"/>
    </row>
    <row r="7" spans="1:6" ht="75" x14ac:dyDescent="0.25">
      <c r="A7" s="192" t="s">
        <v>1419</v>
      </c>
      <c r="B7" s="192" t="inlineStr">
        <is>
          <t xml:space="preserve">Hardware entities design and sell computers, consumer electronics, communications equipment, storage devices and peripherals. Many depend on contract manufacturers for production.</t>
        </is>
      </c>
      <c r="C7" s="191" t="s">
        <v>1420</v>
      </c>
      <c r="D7" s="191" t="s">
        <v>862</v>
      </c>
      <c r="E7" s="335" t="s">
        <v>1426</v>
      </c>
      <c r="F7" s="192"/>
    </row>
    <row r="8" spans="1:6" ht="150" x14ac:dyDescent="0.25">
      <c r="A8" s="192" t="s">
        <v>1422</v>
      </c>
      <c r="B8" s="192" t="inlineStr">
        <is>
          <t xml:space="preserve">Software and IT services entities sell applications software, infrastructure software and middleware to retail, business and government customers. The industry also covers consulting and outsourced IT functions. Newer models include cloud computing, software as a service and machine learning. Brand value matters here because wide adoption of one product tends to drive further sales.</t>
        </is>
      </c>
      <c r="C8" s="191" t="s">
        <v>1424</v>
      </c>
      <c r="D8" s="191" t="s">
        <v>862</v>
      </c>
      <c r="E8" s="335" t="s">
        <v>1425</v>
      </c>
      <c r="F8" s="192"/>
    </row>
    <row r="9" spans="1:6" ht="105" x14ac:dyDescent="0.25">
      <c r="A9" s="192" t="s">
        <v>1427</v>
      </c>
      <c r="B9" s="192" t="inlineStr">
        <is>
          <t xml:space="preserve">Road transportation entities run long-haul and short-haul freight trucking, split between truckload and less-than-truckload carriage. Owner-operators make up most of the industry because entry is easy. A few large operators hold share through contracts with major shippers, and often subcontract to owner-operators.</t>
        </is>
      </c>
      <c r="C9" s="191" t="s">
        <v>1430</v>
      </c>
      <c r="D9" s="191" t="s">
        <v>862</v>
      </c>
      <c r="E9" s="335" t="s">
        <v>1429</v>
      </c>
      <c r="F9" s="192"/>
    </row>
    <row r="10" spans="1:6" ht="60" x14ac:dyDescent="0.25">
      <c r="A10" s="192" t="s">
        <v>865</v>
      </c>
      <c r="B10" s="192" t="inlineStr">
        <is>
          <t xml:space="preserve">A reporting framework that lets any organization report its impacts on the economy, the environment and people in a comparable form. Investors, policymakers and civil society also use the standards.</t>
        </is>
      </c>
      <c r="C10" s="191" t="s">
        <v>28</v>
      </c>
      <c r="D10" s="191" t="s">
        <v>862</v>
      </c>
      <c r="E10" s="335" t="s">
        <v>867</v>
      </c>
      <c r="F10" s="192" t="s">
        <v>868</v>
      </c>
    </row>
    <row r="11" spans="1:6" ht="60" x14ac:dyDescent="0.25">
      <c r="A11" s="192" t="s">
        <v>869</v>
      </c>
      <c r="B11" s="192" t="s">
        <v>870</v>
      </c>
      <c r="C11" s="191" t="s">
        <v>871</v>
      </c>
      <c r="D11" s="191" t="s">
        <v>862</v>
      </c>
      <c r="E11" s="335" t="s">
        <v>872</v>
      </c>
      <c r="F11" s="192" t="s">
        <v>873</v>
      </c>
    </row>
    <row r="12" spans="1:6" ht="105" x14ac:dyDescent="0.25">
      <c r="A12" s="192" t="s">
        <v>1356</v>
      </c>
      <c r="B12" s="192" t="inlineStr">
        <is>
          <t xml:space="preserve">Gives requirements and guidance for building circularity into product design and development. It helps an organization write product design rules that meet its circular business targets or legal obligations. Life cycle thinking is the core principle, and the document covers the trade-offs that arise without sacrificing safety. The focus is material efficiency.</t>
        </is>
      </c>
      <c r="C12" s="191" t="s">
        <v>1358</v>
      </c>
      <c r="D12" s="191" t="s">
        <v>862</v>
      </c>
      <c r="E12" s="335" t="s">
        <v>1359</v>
      </c>
      <c r="F12" s="192"/>
    </row>
    <row r="13" spans="1:6" ht="45" x14ac:dyDescent="0.25">
      <c r="A13" s="192" t="s">
        <v>1369</v>
      </c>
      <c r="B13" s="192" t="inlineStr">
        <is>
          <t xml:space="preserve">Gives a general method for assessing how much recycled material an energy-related product contains. It serves as the framework for defining that assessment within specific product groups.</t>
        </is>
      </c>
      <c r="C13" s="191" t="s">
        <v>1368</v>
      </c>
      <c r="D13" s="191" t="s">
        <v>862</v>
      </c>
      <c r="E13" s="335" t="s">
        <v>1371</v>
      </c>
      <c r="F13" s="192"/>
    </row>
    <row r="14" spans="1:6" ht="45" x14ac:dyDescent="0.25">
      <c r="A14" s="192" t="s">
        <v>1360</v>
      </c>
      <c r="B14" s="192" t="inlineStr">
        <is>
          <t xml:space="preserve">Gives generic criteria and methods for assessing how easily parts come out of a product for repair, reuse or upgrade.</t>
        </is>
      </c>
      <c r="C14" s="191" t="s">
        <v>1362</v>
      </c>
      <c r="D14" s="191" t="s">
        <v>862</v>
      </c>
      <c r="E14" s="335" t="s">
        <v>1361</v>
      </c>
      <c r="F14" s="192"/>
    </row>
    <row r="15" spans="1:6" ht="60" x14ac:dyDescent="0.25">
      <c r="A15" s="192" t="s">
        <v>1366</v>
      </c>
      <c r="B15" s="192" t="inlineStr">
        <is>
          <t xml:space="preserve">Gives a general method for assessing whether an energy-related product can be remanufactured, for use by technical committees writing product-specific publications. It identifies seven process steps that remanufacturing depends on.</t>
        </is>
      </c>
      <c r="C15" s="191" t="s">
        <v>1365</v>
      </c>
      <c r="D15" s="191" t="s">
        <v>862</v>
      </c>
      <c r="E15" s="335" t="s">
        <v>1367</v>
      </c>
      <c r="F15" s="192"/>
    </row>
    <row r="16" spans="1:6" ht="60" x14ac:dyDescent="0.25">
      <c r="A16" s="192" t="s">
        <v>1445</v>
      </c>
      <c r="B16" s="192" t="inlineStr">
        <is>
          <t xml:space="preserve">Guidance on social responsibility, covering what the term means and how to turn its principles into action. It applies to any organization regardless of activity, size or location.</t>
        </is>
      </c>
      <c r="C16" s="191" t="s">
        <v>1445</v>
      </c>
      <c r="D16" s="191" t="s">
        <v>862</v>
      </c>
      <c r="E16" s="335" t="s">
        <v>1446</v>
      </c>
      <c r="F16" s="192" t="s">
        <v>1448</v>
      </c>
    </row>
    <row r="17" spans="1:6" ht="75" x14ac:dyDescent="0.25">
      <c r="A17" s="192" t="s">
        <v>1450</v>
      </c>
      <c r="B17" s="192" t="inlineStr">
        <is>
          <t xml:space="preserve">Guidance on setting up processes that monitor and measure customer satisfaction. It applies to any organization and addresses customers outside the organization.</t>
        </is>
      </c>
      <c r="C17" s="191" t="s">
        <v>1450</v>
      </c>
      <c r="D17" s="191" t="s">
        <v>862</v>
      </c>
      <c r="E17" s="335" t="s">
        <v>1452</v>
      </c>
      <c r="F17" s="192"/>
    </row>
    <row r="18" spans="1:6" ht="60" x14ac:dyDescent="0.25">
      <c r="A18" s="192" t="s">
        <v>1453</v>
      </c>
      <c r="B18" s="192" t="inlineStr">
        <is>
          <t xml:space="preserve">The quality management standard. It sets requirements for establishing, maintaining and improving a quality management system (QMS), and applies to organizations of any size or sector.</t>
        </is>
      </c>
      <c r="C18" s="191" t="s">
        <v>1454</v>
      </c>
      <c r="D18" s="191" t="s">
        <v>862</v>
      </c>
      <c r="E18" s="335" t="s">
        <v>1455</v>
      </c>
      <c r="F18" s="192"/>
    </row>
    <row r="19" spans="1:6" ht="90" x14ac:dyDescent="0.25">
      <c r="A19" s="192" t="s">
        <v>874</v>
      </c>
      <c r="B19" s="192" t="inlineStr">
        <is>
          <t xml:space="preserve">The Cradle to Cradle Certified Product Standard (Full Scope) assesses the circularity and sustainability of materials and products. It scores five categories: material health, product circularity, clean air and climate protection, water and soil stewardship, and social fairness.</t>
        </is>
      </c>
      <c r="C19" s="191" t="s">
        <v>876</v>
      </c>
      <c r="D19" s="191" t="s">
        <v>862</v>
      </c>
      <c r="E19" s="335" t="s">
        <v>877</v>
      </c>
      <c r="F19" s="192" t="s">
        <v>878</v>
      </c>
    </row>
    <row r="20" spans="1:6" ht="180" x14ac:dyDescent="0.25">
      <c r="A20" s="192" t="s">
        <v>879</v>
      </c>
      <c r="B20" s="192" t="inlineStr">
        <is>
          <t xml:space="preserve">Assesses what a circular economy indicator should measure and how to present it. The prototype uses a points-based questionnaire, which resolves to one value between a minimum and a maximum limit. A chemical processing product serves as the test case. The paper also reports that a single aggregate metric can mislead, and that the scoring rests on context-specific assumptions.</t>
        </is>
      </c>
      <c r="C20" s="191" t="s">
        <v>717</v>
      </c>
      <c r="D20" s="191" t="s">
        <v>881</v>
      </c>
      <c r="E20" s="335" t="s">
        <v>1404</v>
      </c>
      <c r="F20" s="192" t="s">
        <v>882</v>
      </c>
    </row>
    <row r="21" spans="1:6" ht="195" x14ac:dyDescent="0.25">
      <c r="A21" s="192" t="s">
        <v>883</v>
      </c>
      <c r="B21" s="192" t="inlineStr">
        <is>
          <t xml:space="preserve">Presents the Product Repairability Index (PRI), which scores a product from the repairability of its parts. The index combines assembly and disassembly complexity, repair instructions, spare-part availability, and self-diagnosis aids. It weights each part by how important that part is to the whole assembly. A coffee machine case study shows which parts to redesign.</t>
        </is>
      </c>
      <c r="C21" s="191" t="s">
        <v>885</v>
      </c>
      <c r="D21" s="191" t="s">
        <v>881</v>
      </c>
      <c r="E21" s="335" t="s">
        <v>886</v>
      </c>
      <c r="F21" s="192" t="s">
        <v>887</v>
      </c>
    </row>
    <row r="22" spans="1:6" ht="180" x14ac:dyDescent="0.25">
      <c r="A22" s="192" t="s">
        <v>888</v>
      </c>
      <c r="B22" s="192" t="inlineStr">
        <is>
          <t xml:space="preserve">Supplies characterization factors for biodiversity impact from land occupation, calculated with the Biodiversity Value Increment (BVI) method. The factors cover the Agribalyse 3.1.1, Ecoinvent 3.10 and Sphera LCA for Experts databases at global and country level. They account for both land-use intensity and location, and ship ready to use in OpenLCA 2.1.0.</t>
        </is>
      </c>
      <c r="C22" s="191" t="s">
        <v>890</v>
      </c>
      <c r="D22" s="191" t="s">
        <v>881</v>
      </c>
      <c r="E22" s="335" t="s">
        <v>891</v>
      </c>
      <c r="F22" s="192" t="s">
        <v>892</v>
      </c>
    </row>
    <row r="23" spans="1:6" ht="195" x14ac:dyDescent="0.25">
      <c r="A23" s="192" t="s">
        <v>893</v>
      </c>
      <c r="B23" s="192" t="inlineStr">
        <is>
          <t xml:space="preserve">Proposes a life cycle impact assessment method that quantifies how land-using production affects biodiversity across broad land use classes. The default valuation rests on naturalness, and users can substitute regional conservation priorities. A consumer product serves as the worked example. The method yields output aggregated enough to compare raw materials and production routes.</t>
        </is>
      </c>
      <c r="C23" t="s">
        <v>895</v>
      </c>
      <c r="D23" s="191" t="s">
        <v>881</v>
      </c>
      <c r="E23" s="335" t="s">
        <v>896</v>
      </c>
      <c r="F23" s="192" t="s">
        <v>897</v>
      </c>
    </row>
    <row r="24" spans="1:6" ht="240" x14ac:dyDescent="0.25">
      <c r="A24" s="192" t="s">
        <v>898</v>
      </c>
      <c r="B24" s="2" t="inlineStr">
        <is>
          <t xml:space="preserve">Proposes a framework for measuring circularity performance at the level of a single organization. It combines general morphological analysis with two multicriteria decision-making methods, then computes composite circularity indicators and one overall Circularity Performance Index. The intended users are organizations that set their own circularity targets.</t>
        </is>
      </c>
      <c r="C24" s="191" t="s">
        <v>629</v>
      </c>
      <c r="D24" s="191" t="s">
        <v>881</v>
      </c>
      <c r="E24" s="335" t="s">
        <v>900</v>
      </c>
      <c r="F24" s="192" t="s">
        <v>901</v>
      </c>
    </row>
    <row r="25" spans="1:6" ht="60" x14ac:dyDescent="0.25">
      <c r="A25" s="192" t="s">
        <v>1380</v>
      </c>
      <c r="B25" s="192" t="inlineStr">
        <is>
          <t xml:space="preserve">Reviews 106 Scopus papers on sustainable remanufacturing and catalogues 1021 candidate KPIs. Among the most frequently cited, 32 are economic, 16 environmental and 3 social. The social dimension is thinly covered.</t>
        </is>
      </c>
      <c r="C25" s="191" t="s">
        <v>1381</v>
      </c>
      <c r="D25" s="191" t="s">
        <v>881</v>
      </c>
      <c r="E25" s="335" t="s">
        <v>1405</v>
      </c>
      <c r="F25" s="192"/>
    </row>
    <row r="26" spans="1:6" ht="150" x14ac:dyDescent="0.25">
      <c r="A26" s="192" t="s">
        <v>902</v>
      </c>
      <c r="B26" s="192" t="inlineStr">
        <is>
          <t xml:space="preserve">Defines indicators for the economic efficiency of circular economy processes and products, and models that efficiency with Data Envelopment Analysis. The indicator set follows the European Union's requirement to cover environmental impact, economic benefit and resource scarcity. It comes from a review of official reports and highly cited papers.</t>
        </is>
      </c>
      <c r="C26" s="191" t="s">
        <v>904</v>
      </c>
      <c r="D26" s="191" t="s">
        <v>881</v>
      </c>
      <c r="E26" s="335" t="s">
        <v>905</v>
      </c>
      <c r="F26" s="192" t="s">
        <v>901</v>
      </c>
    </row>
    <row r="27" spans="1:6" ht="315" x14ac:dyDescent="0.25">
      <c r="A27" s="192" t="s">
        <v>906</v>
      </c>
      <c r="B27" s="192" t="inlineStr">
        <is>
          <t xml:space="preserve">Proposes eDiM, the ease of Disassembly Metric, which calculates disassembly time from the Maynard Operation Sequence Technique. A calculation sheet turns a sequence of actions and basic product data into a verifiable time. That makes the result usable in policy. eDiM sorts disassembly tasks into six categories, so a manufacturer can see which tasks cost the most time. An LCD monitor serves as the case study.</t>
        </is>
      </c>
      <c r="C27" s="191" t="s">
        <v>908</v>
      </c>
      <c r="D27" s="191" t="s">
        <v>881</v>
      </c>
      <c r="E27" s="335" t="s">
        <v>909</v>
      </c>
      <c r="F27" s="192" t="s">
        <v>901</v>
      </c>
    </row>
    <row r="28" spans="1:6" ht="240" x14ac:dyDescent="0.25">
      <c r="A28" s="192" t="s">
        <v>910</v>
      </c>
      <c r="B28" s="192" t="inlineStr">
        <is>
          <t xml:space="preserve">Reviews recycling rates for 60 metals and defines the metrics used to report them: end-of-life recycling rate, recycled content and old scrap ratio. The picture is poor. Only 18 metals have an end-of-life recycling rate above 50%, and only niobium, lead and ruthenium exceed 50% recycled content. Weak collection and the inherent limits of recycling processes explain much of this. Cheap primary material keeps scrap prices low.</t>
        </is>
      </c>
      <c r="C28" s="191" t="s">
        <v>912</v>
      </c>
      <c r="D28" s="191" t="s">
        <v>881</v>
      </c>
      <c r="E28" s="335" t="s">
        <v>913</v>
      </c>
      <c r="F28" s="192" t="s">
        <v>901</v>
      </c>
    </row>
    <row r="29" spans="1:6" ht="285" x14ac:dyDescent="0.25">
      <c r="A29" s="192" t="s">
        <v>914</v>
      </c>
      <c r="B29" s="192" t="inlineStr">
        <is>
          <t xml:space="preserve">Develops a set of micro-level circularity indicators that tie circular economy principles to a company's business model and to the pillars of sustainability. Three Brazilian companies, each running a different circular business model, provided the test cases. Economic and social data was either missing or scattered inside those companies. That is a barrier, because many gains from circularity appear in the social dimension, such as job creation.</t>
        </is>
      </c>
      <c r="C29" s="191" t="s">
        <v>101</v>
      </c>
      <c r="D29" s="191" t="s">
        <v>881</v>
      </c>
      <c r="E29" s="335" t="s">
        <v>909</v>
      </c>
      <c r="F29" s="192" t="s">
        <v>901</v>
      </c>
    </row>
    <row r="30" spans="1:6" ht="210" x14ac:dyDescent="0.25">
      <c r="A30" s="192" t="s">
        <v>916</v>
      </c>
      <c r="B30" s="192" t="inlineStr">
        <is>
          <t xml:space="preserve">Introduces the longevity indicator, which measures material retention by how long a resource stays in use. It sums the initial lifetime with the extra lifetime earned through refurbishment and through recycling. Older burden-per-value metrics cannot guide circular economy decisions, the paper argues. Precious metals in mobile phone handsets illustrate the calculation.</t>
        </is>
      </c>
      <c r="C30" s="191" t="s">
        <v>918</v>
      </c>
      <c r="D30" s="191" t="s">
        <v>881</v>
      </c>
      <c r="E30" s="335" t="s">
        <v>919</v>
      </c>
      <c r="F30" s="192" t="s">
        <v>920</v>
      </c>
    </row>
    <row r="31" spans="1:6" ht="240" x14ac:dyDescent="0.25">
      <c r="A31" s="192" t="s">
        <v>921</v>
      </c>
      <c r="B31" s="192" t="inlineStr">
        <is>
          <t xml:space="preserve">Develops a reparability indicator for self-repair, meaning repair by a layperson with no specialized workshop. The scope is consumer electronics. A test of an existing indicator with 25 Dutch participants found the available guidelines poorly structured. The improved version crowdsourced criteria from an edX course and condensed roughly 2000 entries into 26 repair criteria. A group of 46 TU Delft students checked those criteria for consistency.</t>
        </is>
      </c>
      <c r="C31" s="191" t="s">
        <v>923</v>
      </c>
      <c r="D31" s="191" t="s">
        <v>881</v>
      </c>
      <c r="E31" s="335" t="s">
        <v>924</v>
      </c>
      <c r="F31" s="192" t="s">
        <v>925</v>
      </c>
    </row>
    <row r="32" spans="1:6" ht="225" x14ac:dyDescent="0.25">
      <c r="A32" s="192" t="s">
        <v>926</v>
      </c>
      <c r="B32" s="192" t="inlineStr">
        <is>
          <t xml:space="preserve">Compares six repair scoring systems for objectivity and completeness, where objectivity means each scoring level has a quantifiable, operator-independent test. Most criteria pass both checks. The health and safety criterion does not, and the assessment of reassembly and diagnosis needs expanding. The paper also questions whether eDiM's extra accuracy justifies its harder testing compared with counting disassembly steps.</t>
        </is>
      </c>
      <c r="C32" s="191" t="s">
        <v>928</v>
      </c>
      <c r="D32" s="191" t="s">
        <v>881</v>
      </c>
      <c r="E32" s="335" t="s">
        <v>929</v>
      </c>
      <c r="F32" s="192" t="s">
        <v>901</v>
      </c>
    </row>
    <row r="33" spans="1:6" ht="210" x14ac:dyDescent="0.25">
      <c r="A33" s="192" t="s">
        <v>930</v>
      </c>
      <c r="B33" s="192" t="inlineStr">
        <is>
          <t xml:space="preserve">Builds a repurposable attribute basis (RAB) from 69 documented repurposing examples. A common attribute is a property both the old and the new product share, such as a material property. A transformer attribute is an action that converts one into the other, such as deforming it. The basis holds 13 common and 15 transformer attributes, and supports generating repurposing ideas.</t>
        </is>
      </c>
      <c r="C33" s="191" t="s">
        <v>728</v>
      </c>
      <c r="D33" s="191" t="s">
        <v>881</v>
      </c>
      <c r="E33" s="335" t="s">
        <v>932</v>
      </c>
      <c r="F33" s="192" t="s">
        <v>933</v>
      </c>
    </row>
    <row r="34" spans="1:6" ht="90" x14ac:dyDescent="0.25">
      <c r="A34" s="192" t="s">
        <v>934</v>
      </c>
      <c r="B34" s="192" t="inlineStr">
        <is>
          <t xml:space="preserve">The Material Circularity Indicator (MCI) scores how far a product's material flows move away from linear use. It also compares use duration and intensity against an industry average. The MCI combines virgin raw material mass, unrecoverable waste mass, and a utility factor for length and intensity of use.</t>
        </is>
      </c>
      <c r="C34" s="191" t="s">
        <v>936</v>
      </c>
      <c r="D34" s="191" t="s">
        <v>881</v>
      </c>
      <c r="E34" s="335" t="s">
        <v>1406</v>
      </c>
      <c r="F34" s="192" t="s">
        <v>937</v>
      </c>
    </row>
    <row r="35" spans="1:6" ht="165" x14ac:dyDescent="0.25">
      <c r="A35" s="192" t="s">
        <v>938</v>
      </c>
      <c r="B35" s="192" t="inlineStr">
        <is>
          <t xml:space="preserve">Models with game theory when a brand owner and an independent remanufacturer both gain from certifying refurbished products. Certification removes the remanufacturer's quality-image disadvantage and gives the brand owner a second revenue stream. The incentives align when competition is intense and the quality-image disadvantage is large. High variance in refurbished demand narrows that window.</t>
        </is>
      </c>
      <c r="C35" s="191" t="s">
        <v>640</v>
      </c>
      <c r="D35" s="191" t="s">
        <v>881</v>
      </c>
      <c r="E35" s="335" t="s">
        <v>940</v>
      </c>
      <c r="F35" s="192" t="s">
        <v>901</v>
      </c>
    </row>
    <row r="36" spans="1:6" ht="150" x14ac:dyDescent="0.25">
      <c r="A36" s="192" t="s">
        <v>941</v>
      </c>
      <c r="B36" s="192" t="inlineStr">
        <is>
          <t xml:space="preserve">Brings remanufacturing into early product design through Remanufacturable Product Profiles (RPPs), which record what remanufactured products have in common and their typical use contexts. Statistical clustering of about 30 successfully remanufactured products produced the profiles. A tool called REPRO2 applies them to design decisions.</t>
        </is>
      </c>
      <c r="C36" s="191" t="s">
        <v>943</v>
      </c>
      <c r="D36" s="191" t="s">
        <v>881</v>
      </c>
      <c r="E36" s="335" t="s">
        <v>944</v>
      </c>
      <c r="F36" s="192" t="s">
        <v>901</v>
      </c>
    </row>
    <row r="37" spans="1:6" ht="105" x14ac:dyDescent="0.25">
      <c r="A37" s="192" t="s">
        <v>945</v>
      </c>
      <c r="B37" s="192" t="inlineStr">
        <is>
          <t xml:space="preserve">Assesses remanufacturability from the design data held in CAD models, so the check happens at the design stage. The metrics cover disassembly complexity, fastener accessibility, disassemblability and recoverability, combined in one framework. An automotive alternator case study validates the model.</t>
        </is>
      </c>
      <c r="C37" s="191" t="s">
        <v>947</v>
      </c>
      <c r="D37" s="191" t="s">
        <v>881</v>
      </c>
      <c r="E37" s="335" t="s">
        <v>948</v>
      </c>
      <c r="F37" s="192" t="s">
        <v>949</v>
      </c>
    </row>
    <row r="38" spans="1:6" ht="75" x14ac:dyDescent="0.25">
      <c r="A38" s="192" t="s">
        <v>950</v>
      </c>
      <c r="B38" s="192" t="inlineStr">
        <is>
          <t xml:space="preserve">Models the choice an original equipment manufacturer faces in a closed-loop supply chain. The OEM can remanufacture returned products itself and coordinate pricing with its new products. It can instead let third-party operators remanufacture and sell into the secondary market, which risks cannibalizing new product sales.</t>
        </is>
      </c>
      <c r="C38" s="191" t="s">
        <v>952</v>
      </c>
      <c r="D38" s="191" t="s">
        <v>881</v>
      </c>
      <c r="E38" s="335" t="s">
        <v>953</v>
      </c>
      <c r="F38" s="192" t="s">
        <v>954</v>
      </c>
    </row>
    <row r="39" spans="1:6" ht="165" x14ac:dyDescent="0.25">
      <c r="A39" s="192" t="s">
        <v>955</v>
      </c>
      <c r="B39" s="192" t="inlineStr">
        <is>
          <t xml:space="preserve">Proposes a quantitative method for assessing circularity across the life cycle of a product made by additive manufacturing. Additive manufacturing can cut energy and material use in production, and lower material use through reuse and recycling. The paper notes that industrial applications remain scarce.</t>
        </is>
      </c>
      <c r="C39" s="191" t="s">
        <v>354</v>
      </c>
      <c r="D39" s="191" t="s">
        <v>881</v>
      </c>
      <c r="E39" s="335" t="s">
        <v>957</v>
      </c>
      <c r="F39" s="192" t="s">
        <v>958</v>
      </c>
    </row>
    <row r="40" spans="1:6" ht="60" x14ac:dyDescent="0.25">
      <c r="A40" s="192" t="s">
        <v>985</v>
      </c>
      <c r="B40" s="192" t="inlineStr">
        <is>
          <t xml:space="preserve">Supplies ozone depletion characterization factors derived from the ozone depletion potentials in the 2022 World Meteorological Organization assessment. The factors convert emissions of ozone-depleting substances into kg CFC-11-eq for life cycle assessment.</t>
        </is>
      </c>
      <c r="C40" s="191" t="s">
        <v>987</v>
      </c>
      <c r="D40" s="191" t="s">
        <v>881</v>
      </c>
      <c r="E40" s="335" t="s">
        <v>988</v>
      </c>
      <c r="F40" s="192" t="s">
        <v>989</v>
      </c>
    </row>
    <row r="41" spans="1:6" ht="45" x14ac:dyDescent="0.25">
      <c r="A41" s="192" t="s">
        <v>992</v>
      </c>
      <c r="B41" s="192" t="inlineStr">
        <is>
          <t xml:space="preserve">Official documentation for USEtox, the UNEP and SETAC consensus model for characterizing human health and ecotoxicological impacts of chemical emissions in life cycle assessment.</t>
        </is>
      </c>
      <c r="C41" s="191" t="s">
        <v>995</v>
      </c>
      <c r="D41" s="191" t="s">
        <v>993</v>
      </c>
      <c r="E41" s="335" t="s">
        <v>991</v>
      </c>
      <c r="F41" s="192"/>
    </row>
    <row r="42" spans="1:6" ht="60" x14ac:dyDescent="0.25">
      <c r="A42" s="192" t="s">
        <v>1000</v>
      </c>
      <c r="B42" s="192" t="inlineStr">
        <is>
          <t xml:space="preserve">Gives characterization factors for the human health effects of PM10 and ozone in Europe. Each factor expresses the change in disability adjusted life years among European inhabitants per unit change in emissions. The covered emissions are PM10, ammonia, nitrogen oxides, sulfur dioxide and non-methane volatile organic compounds.</t>
        </is>
      </c>
      <c r="C42" s="191" t="s">
        <v>1001</v>
      </c>
      <c r="D42" s="191" t="s">
        <v>881</v>
      </c>
      <c r="E42" s="335" t="s">
        <v>998</v>
      </c>
      <c r="F42" s="192"/>
    </row>
    <row r="43" spans="1:6" ht="75" x14ac:dyDescent="0.25">
      <c r="A43" s="192" t="s">
        <v>1012</v>
      </c>
      <c r="B43" s="192" t="inlineStr">
        <is>
          <t xml:space="preserve">Assesses the human health damage from routine releases of radioactive material for use in life cycle assessment. Fate and exposure come from site-specific modelling of the French nuclear fuel cycle, which yields generic exposure factors. The effect analysis rests on epidemiological studies, and the paper reports damage in disability adjusted life years.</t>
        </is>
      </c>
      <c r="C43" s="191" t="s">
        <v>1010</v>
      </c>
      <c r="D43" s="191" t="s">
        <v>881</v>
      </c>
      <c r="E43" s="335" t="s">
        <v>1009</v>
      </c>
      <c r="F43" s="192"/>
    </row>
    <row r="44" spans="1:6" ht="45" x14ac:dyDescent="0.25">
      <c r="A44" s="192" t="s">
        <v>1028</v>
      </c>
      <c r="B44" s="192" t="inlineStr">
        <is>
          <t xml:space="preserve">Commission Recommendation that promotes the Environmental Footprint methods for measuring and communicating the life cycle environmental performance of products and organisations.</t>
        </is>
      </c>
      <c r="C44" s="191" t="s">
        <v>1030</v>
      </c>
      <c r="D44" s="191" t="s">
        <v>1033</v>
      </c>
      <c r="E44" s="335" t="s">
        <v>1031</v>
      </c>
      <c r="F44" s="192" t="s">
        <v>1032</v>
      </c>
    </row>
    <row r="45" spans="1:6" ht="60" x14ac:dyDescent="0.25">
      <c r="A45" s="192" t="s">
        <v>1044</v>
      </c>
      <c r="B45" s="192" t="inlineStr">
        <is>
          <t xml:space="preserve">Presents a water scarcity midpoint method agreed over a two-year consensus process by the WULCA working group of the UNEP-SETAC Life Cycle Initiative. The method supports water scarcity footprint assessment in LCA.</t>
        </is>
      </c>
      <c r="C45" s="191" t="s">
        <v>1046</v>
      </c>
      <c r="D45" s="191" t="s">
        <v>881</v>
      </c>
      <c r="E45" s="335" t="s">
        <v>1043</v>
      </c>
      <c r="F45" s="192"/>
    </row>
    <row r="46" spans="1:6" ht="60" x14ac:dyDescent="0.25">
      <c r="A46" s="192" t="s">
        <v>1047</v>
      </c>
      <c r="B46" s="192" t="inlineStr">
        <is>
          <t xml:space="preserve">Abiotic depletion potential measures the use of non-renewable resources for energy production, and an LCA assesses it as one of its factors. This study limits the definition to non-renewable resources and excludes renewable abiotic resources such as wind and flowing water.</t>
        </is>
      </c>
      <c r="C46" s="191" t="s">
        <v>1051</v>
      </c>
      <c r="D46" s="191" t="s">
        <v>1049</v>
      </c>
      <c r="E46" s="335" t="s">
        <v>1050</v>
      </c>
      <c r="F46" s="192" t="s">
        <v>1053</v>
      </c>
    </row>
    <row r="47" spans="1:6" ht="60" x14ac:dyDescent="0.25">
      <c r="A47" s="192" t="s">
        <v>1077</v>
      </c>
      <c r="B47" s="192" t="inlineStr">
        <is>
          <t xml:space="preserve">Accumulated Exceedance (AE) characterizes the change in critical load exceedance for sensitive terrestrial and freshwater ecosystems where acidifying substances deposit.</t>
        </is>
      </c>
      <c r="C47" s="191" t="s">
        <v>1079</v>
      </c>
      <c r="D47" s="191" t="s">
        <v>1075</v>
      </c>
      <c r="E47" s="335" t="s">
        <v>1076</v>
      </c>
      <c r="F47" s="192"/>
    </row>
    <row r="48" spans="1:6" ht="105" x14ac:dyDescent="0.25">
      <c r="A48" s="192" t="s">
        <v>1082</v>
      </c>
      <c r="B48" s="192" t="inlineStr">
        <is>
          <t xml:space="preserve">Describes a life cycle impact assessment method that uses one set of modelling choices but reports at both midpoint and endpoint level. The first phase compared the two main approaches to impact assessment. It focused on how impact categories and category indicators get chosen, and how characterization models convert inventory results into indicator results.</t>
        </is>
      </c>
      <c r="C48" s="191" t="s">
        <v>1080</v>
      </c>
      <c r="D48" s="191" t="s">
        <v>881</v>
      </c>
      <c r="E48" s="335" t="s">
        <v>1081</v>
      </c>
      <c r="F48" s="192"/>
    </row>
    <row r="49" spans="1:6" ht="75" x14ac:dyDescent="0.25">
      <c r="A49" s="192" t="s">
        <v>1085</v>
      </c>
      <c r="B49" s="192" t="inlineStr">
        <is>
          <t xml:space="preserve">Exposure factors for water-borne emissions come from the CARMEN model, and those for air-borne emissions from EUTREND. The model covers impacts on freshwater systems only.</t>
        </is>
      </c>
      <c r="C49" s="191" t="s">
        <v>1086</v>
      </c>
      <c r="D49" s="191" t="s">
        <v>1075</v>
      </c>
      <c r="E49" s="335" t="s">
        <v>1084</v>
      </c>
      <c r="F49" s="192"/>
    </row>
    <row r="50" spans="1:6" ht="45" x14ac:dyDescent="0.25">
      <c r="A50" s="192" t="s">
        <v>1400</v>
      </c>
      <c r="B50" s="192" t="inlineStr">
        <is>
          <t xml:space="preserve">Gives a quantitative tool for measuring water circularity inside engineered urban water infrastructure, and applies it to macro-level water planning and policy.</t>
        </is>
      </c>
      <c r="C50" s="191" t="s">
        <v>407</v>
      </c>
      <c r="D50" s="191" t="s">
        <v>881</v>
      </c>
      <c r="E50" s="335" t="s">
        <v>1402</v>
      </c>
      <c r="F50" s="192" t="s">
        <v>1403</v>
      </c>
    </row>
    <row r="51" spans="1:6" ht="45" x14ac:dyDescent="0.25">
      <c r="A51" s="192" t="s">
        <v>1475</v>
      </c>
      <c r="B51" s="192" t="s">
        <v>1476</v>
      </c>
      <c r="C51" s="191" t="s">
        <v>1477</v>
      </c>
      <c r="D51" s="191" t="s">
        <v>862</v>
      </c>
      <c r="E51" s="335" t="s">
        <v>1478</v>
      </c>
      <c r="F51" s="192"/>
    </row>
    <row r="52" spans="1:6" ht="30" x14ac:dyDescent="0.25">
      <c r="A52" s="192" t="s">
        <v>1479</v>
      </c>
      <c r="B52" s="192" t="s">
        <v>1480</v>
      </c>
      <c r="C52" s="191" t="s">
        <v>1481</v>
      </c>
      <c r="D52" s="191" t="s">
        <v>862</v>
      </c>
      <c r="E52" s="335" t="s">
        <v>1531</v>
      </c>
      <c r="F52" s="192" t="s">
        <v>1494</v>
      </c>
    </row>
    <row r="53" spans="1:6" ht="30" x14ac:dyDescent="0.25">
      <c r="A53" s="192" t="s">
        <v>1532</v>
      </c>
      <c r="B53" s="192" t="s">
        <v>1533</v>
      </c>
      <c r="C53" s="191" t="s">
        <v>1532</v>
      </c>
      <c r="D53" s="191" t="s">
        <v>862</v>
      </c>
      <c r="E53" s="335" t="s">
        <v>1534</v>
      </c>
      <c r="F53" s="192"/>
    </row>
    <row r="54" spans="1:6" ht="30" x14ac:dyDescent="0.25">
      <c r="A54" s="192" t="s">
        <v>1535</v>
      </c>
      <c r="B54" s="192" t="s">
        <v>1536</v>
      </c>
      <c r="C54" s="191" t="s">
        <v>1535</v>
      </c>
      <c r="D54" s="191" t="s">
        <v>862</v>
      </c>
      <c r="E54" s="335" t="s">
        <v>1537</v>
      </c>
      <c r="F54" s="192"/>
    </row>
    <row r="55" spans="1:6" ht="30" x14ac:dyDescent="0.25">
      <c r="A55" s="192" t="s">
        <v>1538</v>
      </c>
      <c r="B55" s="192" t="s">
        <v>1539</v>
      </c>
      <c r="C55" s="191" t="s">
        <v>1538</v>
      </c>
      <c r="D55" s="191" t="s">
        <v>862</v>
      </c>
      <c r="E55" s="335" t="s">
        <v>1540</v>
      </c>
      <c r="F55" s="192"/>
    </row>
    <row r="56" spans="1:6" x14ac:dyDescent="0.25">
      <c r="A56" s="192" t="s">
        <v>1541</v>
      </c>
      <c r="B56" s="192" t="s">
        <v>1542</v>
      </c>
      <c r="C56" s="191" t="s">
        <v>1541</v>
      </c>
      <c r="D56" s="191" t="s">
        <v>1543</v>
      </c>
      <c r="E56" s="335" t="s">
        <v>1544</v>
      </c>
      <c r="F56" s="192"/>
    </row>
    <row r="57" spans="1:6" ht="45" x14ac:dyDescent="0.25">
      <c r="A57" s="192" t="s">
        <v>1545</v>
      </c>
      <c r="B57" s="192" t="s">
        <v>1546</v>
      </c>
      <c r="C57" s="191" t="s">
        <v>1545</v>
      </c>
      <c r="D57" s="191" t="s">
        <v>1547</v>
      </c>
      <c r="E57" s="335" t="s">
        <v>1478</v>
      </c>
      <c r="F57" s="192"/>
    </row>
    <row r="58" spans="1:6" ht="45" x14ac:dyDescent="0.25">
      <c r="A58" s="192" t="s">
        <v>1548</v>
      </c>
      <c r="B58" s="192" t="s">
        <v>1769</v>
      </c>
      <c r="C58" s="191" t="s">
        <v>1549</v>
      </c>
      <c r="D58" s="191" t="s">
        <v>862</v>
      </c>
      <c r="E58" s="335" t="s">
        <v>877</v>
      </c>
      <c r="F58" s="192" t="s">
        <v>1494</v>
      </c>
    </row>
    <row r="59" spans="1:6" ht="45" x14ac:dyDescent="0.25">
      <c r="A59" s="352" t="s">
        <v>1548</v>
      </c>
      <c r="B59" s="352" t="s">
        <v>1770</v>
      </c>
      <c r="C59" s="353" t="s">
        <v>1550</v>
      </c>
      <c r="D59" s="353" t="s">
        <v>862</v>
      </c>
      <c r="E59" s="354" t="s">
        <v>877</v>
      </c>
      <c r="F59" s="352" t="s">
        <v>1494</v>
      </c>
    </row>
    <row r="60" spans="1:6" ht="45" x14ac:dyDescent="0.25">
      <c r="A60" s="192" t="s">
        <v>1475</v>
      </c>
      <c r="B60" s="192" t="s">
        <v>1771</v>
      </c>
      <c r="C60" s="191" t="s">
        <v>452</v>
      </c>
      <c r="D60" s="191" t="s">
        <v>862</v>
      </c>
      <c r="E60" s="335" t="s">
        <v>1478</v>
      </c>
      <c r="F60" s="192" t="s">
        <v>1494</v>
      </c>
    </row>
    <row r="61" spans="1:6" ht="45" x14ac:dyDescent="0.25">
      <c r="A61" s="192" t="s">
        <v>1475</v>
      </c>
      <c r="B61" s="192" t="s">
        <v>1772</v>
      </c>
      <c r="C61" s="191" t="s">
        <v>1551</v>
      </c>
      <c r="D61" s="191" t="s">
        <v>862</v>
      </c>
      <c r="E61" s="335" t="s">
        <v>1478</v>
      </c>
      <c r="F61" s="192" t="s">
        <v>1494</v>
      </c>
    </row>
    <row r="62" spans="1:6" ht="45" x14ac:dyDescent="0.25">
      <c r="A62" s="192" t="s">
        <v>1475</v>
      </c>
      <c r="B62" s="192" t="s">
        <v>1773</v>
      </c>
      <c r="C62" s="191" t="s">
        <v>1552</v>
      </c>
      <c r="D62" s="191" t="s">
        <v>862</v>
      </c>
      <c r="E62" s="335" t="s">
        <v>1478</v>
      </c>
      <c r="F62" s="192" t="s">
        <v>1494</v>
      </c>
    </row>
    <row r="63" spans="1:6" ht="45" x14ac:dyDescent="0.25">
      <c r="A63" s="192" t="s">
        <v>1553</v>
      </c>
      <c r="B63" s="192" t="s">
        <v>1554</v>
      </c>
      <c r="C63" s="191" t="s">
        <v>1555</v>
      </c>
      <c r="D63" s="191" t="s">
        <v>862</v>
      </c>
      <c r="E63" s="335" t="s">
        <v>1478</v>
      </c>
      <c r="F63" s="192" t="s">
        <v>1494</v>
      </c>
    </row>
    <row r="64" spans="1:6" ht="45" x14ac:dyDescent="0.25">
      <c r="A64" s="192" t="s">
        <v>1556</v>
      </c>
      <c r="B64" s="192" t="s">
        <v>1774</v>
      </c>
      <c r="C64" s="191" t="s">
        <v>1557</v>
      </c>
      <c r="D64" s="191" t="s">
        <v>862</v>
      </c>
      <c r="E64" s="335" t="s">
        <v>1478</v>
      </c>
      <c r="F64" s="192" t="s">
        <v>1494</v>
      </c>
    </row>
    <row r="65" spans="1:6" ht="45" x14ac:dyDescent="0.25">
      <c r="A65" s="192" t="s">
        <v>1556</v>
      </c>
      <c r="B65" s="192" t="s">
        <v>1775</v>
      </c>
      <c r="C65" s="191" t="s">
        <v>1558</v>
      </c>
      <c r="D65" s="191" t="s">
        <v>862</v>
      </c>
      <c r="E65" s="335" t="s">
        <v>1478</v>
      </c>
      <c r="F65" s="192" t="s">
        <v>1494</v>
      </c>
    </row>
    <row r="66" spans="1:6" ht="45" x14ac:dyDescent="0.25">
      <c r="A66" s="192" t="s">
        <v>1556</v>
      </c>
      <c r="B66" s="192" t="s">
        <v>1776</v>
      </c>
      <c r="C66" s="191" t="s">
        <v>330</v>
      </c>
      <c r="D66" s="191" t="s">
        <v>862</v>
      </c>
      <c r="E66" s="335" t="s">
        <v>1478</v>
      </c>
      <c r="F66" s="192" t="s">
        <v>1494</v>
      </c>
    </row>
    <row r="67" spans="1:6" ht="45" x14ac:dyDescent="0.25">
      <c r="A67" s="192" t="s">
        <v>1559</v>
      </c>
      <c r="B67" s="192" t="s">
        <v>1777</v>
      </c>
      <c r="C67" s="191" t="s">
        <v>1560</v>
      </c>
      <c r="D67" s="191" t="s">
        <v>862</v>
      </c>
      <c r="E67" s="335" t="s">
        <v>1478</v>
      </c>
      <c r="F67" s="192" t="s">
        <v>1494</v>
      </c>
    </row>
    <row r="68" spans="1:6" ht="45" x14ac:dyDescent="0.25">
      <c r="A68" s="192" t="s">
        <v>1559</v>
      </c>
      <c r="B68" s="192" t="s">
        <v>1778</v>
      </c>
      <c r="C68" s="191" t="s">
        <v>1561</v>
      </c>
      <c r="D68" s="191" t="s">
        <v>862</v>
      </c>
      <c r="E68" s="335" t="s">
        <v>1478</v>
      </c>
      <c r="F68" s="192" t="s">
        <v>1494</v>
      </c>
    </row>
    <row r="69" spans="1:6" ht="45" x14ac:dyDescent="0.25">
      <c r="A69" s="192" t="s">
        <v>1559</v>
      </c>
      <c r="B69" s="192" t="s">
        <v>1779</v>
      </c>
      <c r="C69" s="191" t="s">
        <v>1562</v>
      </c>
      <c r="D69" s="191" t="s">
        <v>862</v>
      </c>
      <c r="E69" s="335" t="s">
        <v>1478</v>
      </c>
      <c r="F69" s="192" t="s">
        <v>1494</v>
      </c>
    </row>
    <row r="70" spans="1:6" ht="45" x14ac:dyDescent="0.25">
      <c r="A70" s="192" t="s">
        <v>1563</v>
      </c>
      <c r="B70" s="192" t="s">
        <v>1564</v>
      </c>
      <c r="C70" s="191" t="s">
        <v>1565</v>
      </c>
      <c r="D70" s="191" t="s">
        <v>862</v>
      </c>
      <c r="E70" s="335" t="s">
        <v>867</v>
      </c>
      <c r="F70" s="192" t="s">
        <v>1494</v>
      </c>
    </row>
    <row r="71" spans="1:6" ht="45" x14ac:dyDescent="0.25">
      <c r="A71" s="192" t="s">
        <v>1566</v>
      </c>
      <c r="B71" s="192" t="s">
        <v>1567</v>
      </c>
      <c r="C71" s="191" t="s">
        <v>1443</v>
      </c>
      <c r="D71" s="191" t="s">
        <v>862</v>
      </c>
      <c r="E71" s="335" t="s">
        <v>867</v>
      </c>
      <c r="F71" s="192" t="s">
        <v>1494</v>
      </c>
    </row>
    <row r="72" spans="1:6" ht="45" x14ac:dyDescent="0.25">
      <c r="A72" s="192" t="s">
        <v>1568</v>
      </c>
      <c r="B72" s="192" t="s">
        <v>1569</v>
      </c>
      <c r="C72" s="191" t="s">
        <v>1433</v>
      </c>
      <c r="D72" s="191" t="s">
        <v>862</v>
      </c>
      <c r="E72" s="335" t="s">
        <v>867</v>
      </c>
      <c r="F72" s="192" t="s">
        <v>1494</v>
      </c>
    </row>
    <row r="73" spans="1:6" ht="45" x14ac:dyDescent="0.25">
      <c r="A73" s="192" t="s">
        <v>1570</v>
      </c>
      <c r="B73" s="192" t="s">
        <v>1571</v>
      </c>
      <c r="C73" s="191" t="s">
        <v>598</v>
      </c>
      <c r="D73" s="191" t="s">
        <v>862</v>
      </c>
      <c r="E73" s="335" t="s">
        <v>867</v>
      </c>
      <c r="F73" s="192" t="s">
        <v>1494</v>
      </c>
    </row>
    <row r="74" spans="1:6" ht="45" x14ac:dyDescent="0.25">
      <c r="A74" s="192" t="s">
        <v>1572</v>
      </c>
      <c r="B74" s="192" t="s">
        <v>1780</v>
      </c>
      <c r="C74" s="191" t="s">
        <v>1222</v>
      </c>
      <c r="D74" s="191" t="s">
        <v>862</v>
      </c>
      <c r="E74" s="335" t="s">
        <v>867</v>
      </c>
      <c r="F74" s="192" t="s">
        <v>1494</v>
      </c>
    </row>
    <row r="75" spans="1:6" ht="45" x14ac:dyDescent="0.25">
      <c r="A75" s="192" t="s">
        <v>1572</v>
      </c>
      <c r="B75" s="192" t="s">
        <v>1781</v>
      </c>
      <c r="C75" s="191" t="s">
        <v>1226</v>
      </c>
      <c r="D75" s="191" t="s">
        <v>862</v>
      </c>
      <c r="E75" s="335" t="s">
        <v>867</v>
      </c>
      <c r="F75" s="192" t="s">
        <v>1494</v>
      </c>
    </row>
    <row r="76" spans="1:6" ht="45" x14ac:dyDescent="0.25">
      <c r="A76" s="192" t="s">
        <v>1572</v>
      </c>
      <c r="B76" s="192" t="s">
        <v>1782</v>
      </c>
      <c r="C76" s="191" t="s">
        <v>1573</v>
      </c>
      <c r="D76" s="191" t="s">
        <v>862</v>
      </c>
      <c r="E76" s="335" t="s">
        <v>867</v>
      </c>
      <c r="F76" s="192" t="s">
        <v>1494</v>
      </c>
    </row>
    <row r="77" spans="1:6" ht="45" x14ac:dyDescent="0.25">
      <c r="A77" s="192" t="s">
        <v>1572</v>
      </c>
      <c r="B77" s="192" t="s">
        <v>1783</v>
      </c>
      <c r="C77" s="191" t="s">
        <v>1224</v>
      </c>
      <c r="D77" s="191" t="s">
        <v>862</v>
      </c>
      <c r="E77" s="335" t="s">
        <v>867</v>
      </c>
      <c r="F77" s="192" t="s">
        <v>1494</v>
      </c>
    </row>
    <row r="78" spans="1:6" ht="45" x14ac:dyDescent="0.25">
      <c r="A78" s="192" t="s">
        <v>1574</v>
      </c>
      <c r="B78" s="192" t="s">
        <v>1784</v>
      </c>
      <c r="C78" s="191" t="s">
        <v>1575</v>
      </c>
      <c r="D78" s="191" t="s">
        <v>862</v>
      </c>
      <c r="E78" s="335" t="s">
        <v>867</v>
      </c>
      <c r="F78" s="192" t="s">
        <v>1494</v>
      </c>
    </row>
    <row r="79" spans="1:6" ht="45" x14ac:dyDescent="0.25">
      <c r="A79" s="192" t="s">
        <v>1574</v>
      </c>
      <c r="B79" s="192" t="s">
        <v>1785</v>
      </c>
      <c r="C79" s="191" t="s">
        <v>1576</v>
      </c>
      <c r="D79" s="191" t="s">
        <v>862</v>
      </c>
      <c r="E79" s="335" t="s">
        <v>867</v>
      </c>
      <c r="F79" s="192" t="s">
        <v>1494</v>
      </c>
    </row>
    <row r="80" spans="1:6" ht="45" x14ac:dyDescent="0.25">
      <c r="A80" s="192" t="s">
        <v>1574</v>
      </c>
      <c r="B80" s="192" t="s">
        <v>1786</v>
      </c>
      <c r="C80" s="191" t="s">
        <v>1577</v>
      </c>
      <c r="D80" s="191" t="s">
        <v>862</v>
      </c>
      <c r="E80" s="335" t="s">
        <v>867</v>
      </c>
      <c r="F80" s="192" t="s">
        <v>1494</v>
      </c>
    </row>
    <row r="81" spans="1:6" ht="45" x14ac:dyDescent="0.25">
      <c r="A81" s="192" t="s">
        <v>1574</v>
      </c>
      <c r="B81" s="192" t="s">
        <v>1787</v>
      </c>
      <c r="C81" s="191" t="s">
        <v>1578</v>
      </c>
      <c r="D81" s="191" t="s">
        <v>862</v>
      </c>
      <c r="E81" s="335" t="s">
        <v>867</v>
      </c>
      <c r="F81" s="192" t="s">
        <v>1494</v>
      </c>
    </row>
    <row r="82" spans="1:6" ht="45" x14ac:dyDescent="0.25">
      <c r="A82" s="192" t="s">
        <v>1579</v>
      </c>
      <c r="B82" s="192" t="s">
        <v>1788</v>
      </c>
      <c r="C82" s="191" t="s">
        <v>1580</v>
      </c>
      <c r="D82" s="191" t="s">
        <v>862</v>
      </c>
      <c r="E82" s="335" t="s">
        <v>867</v>
      </c>
      <c r="F82" s="192" t="s">
        <v>1494</v>
      </c>
    </row>
    <row r="83" spans="1:6" ht="45" x14ac:dyDescent="0.25">
      <c r="A83" s="192" t="s">
        <v>1579</v>
      </c>
      <c r="B83" s="192" t="s">
        <v>1789</v>
      </c>
      <c r="C83" s="191" t="s">
        <v>423</v>
      </c>
      <c r="D83" s="191" t="s">
        <v>862</v>
      </c>
      <c r="E83" s="335" t="s">
        <v>867</v>
      </c>
      <c r="F83" s="192" t="s">
        <v>1494</v>
      </c>
    </row>
    <row r="84" spans="1:6" ht="45" x14ac:dyDescent="0.25">
      <c r="A84" s="192" t="s">
        <v>1581</v>
      </c>
      <c r="B84" s="192" t="s">
        <v>1582</v>
      </c>
      <c r="C84" s="191" t="s">
        <v>1438</v>
      </c>
      <c r="D84" s="191" t="s">
        <v>862</v>
      </c>
      <c r="E84" s="335" t="s">
        <v>867</v>
      </c>
      <c r="F84" s="192" t="s">
        <v>1494</v>
      </c>
    </row>
    <row r="85" spans="1:6" ht="45" x14ac:dyDescent="0.25">
      <c r="A85" s="192" t="s">
        <v>1583</v>
      </c>
      <c r="B85" s="192" t="s">
        <v>1584</v>
      </c>
      <c r="C85" s="191" t="s">
        <v>1435</v>
      </c>
      <c r="D85" s="191" t="s">
        <v>862</v>
      </c>
      <c r="E85" s="335" t="s">
        <v>867</v>
      </c>
      <c r="F85" s="192" t="s">
        <v>1494</v>
      </c>
    </row>
    <row r="86" spans="1:6" ht="45" x14ac:dyDescent="0.25">
      <c r="A86" s="192" t="s">
        <v>1585</v>
      </c>
      <c r="B86" s="192" t="s">
        <v>1790</v>
      </c>
      <c r="C86" s="191" t="s">
        <v>1586</v>
      </c>
      <c r="D86" s="191" t="s">
        <v>862</v>
      </c>
      <c r="E86" s="335" t="s">
        <v>867</v>
      </c>
      <c r="F86" s="192" t="s">
        <v>1494</v>
      </c>
    </row>
    <row r="87" spans="1:6" ht="45" x14ac:dyDescent="0.25">
      <c r="A87" s="192" t="s">
        <v>1585</v>
      </c>
      <c r="B87" s="192" t="s">
        <v>1791</v>
      </c>
      <c r="C87" s="191" t="s">
        <v>1587</v>
      </c>
      <c r="D87" s="191" t="s">
        <v>862</v>
      </c>
      <c r="E87" s="335" t="s">
        <v>867</v>
      </c>
      <c r="F87" s="192" t="s">
        <v>1494</v>
      </c>
    </row>
    <row r="88" spans="1:6" ht="45" x14ac:dyDescent="0.25">
      <c r="A88" s="192" t="s">
        <v>1585</v>
      </c>
      <c r="B88" s="192" t="s">
        <v>1792</v>
      </c>
      <c r="C88" s="191" t="s">
        <v>1588</v>
      </c>
      <c r="D88" s="191" t="s">
        <v>862</v>
      </c>
      <c r="E88" s="335" t="s">
        <v>867</v>
      </c>
      <c r="F88" s="192" t="s">
        <v>1494</v>
      </c>
    </row>
    <row r="89" spans="1:6" ht="45" x14ac:dyDescent="0.25">
      <c r="A89" s="192" t="s">
        <v>1589</v>
      </c>
      <c r="B89" s="192" t="s">
        <v>1793</v>
      </c>
      <c r="C89" s="191" t="s">
        <v>1436</v>
      </c>
      <c r="D89" s="191" t="s">
        <v>862</v>
      </c>
      <c r="E89" s="335" t="s">
        <v>867</v>
      </c>
      <c r="F89" s="192" t="s">
        <v>1494</v>
      </c>
    </row>
    <row r="90" spans="1:6" ht="45" x14ac:dyDescent="0.25">
      <c r="A90" s="192" t="s">
        <v>1589</v>
      </c>
      <c r="B90" s="192" t="s">
        <v>1794</v>
      </c>
      <c r="C90" s="191" t="s">
        <v>1437</v>
      </c>
      <c r="D90" s="191" t="s">
        <v>862</v>
      </c>
      <c r="E90" s="335" t="s">
        <v>867</v>
      </c>
      <c r="F90" s="192" t="s">
        <v>1494</v>
      </c>
    </row>
    <row r="91" spans="1:6" ht="30" x14ac:dyDescent="0.25">
      <c r="A91" s="192" t="s">
        <v>1590</v>
      </c>
      <c r="B91" s="192" t="s">
        <v>1591</v>
      </c>
      <c r="C91" s="191" t="s">
        <v>1590</v>
      </c>
      <c r="D91" s="191" t="s">
        <v>862</v>
      </c>
      <c r="E91" s="335" t="s">
        <v>1592</v>
      </c>
      <c r="F91" s="192" t="s">
        <v>1494</v>
      </c>
    </row>
    <row r="92" spans="1:6" ht="60" x14ac:dyDescent="0.25">
      <c r="A92" s="192" t="s">
        <v>1593</v>
      </c>
      <c r="B92" s="192" t="s">
        <v>1594</v>
      </c>
      <c r="C92" s="191" t="s">
        <v>750</v>
      </c>
      <c r="D92" s="191" t="s">
        <v>881</v>
      </c>
      <c r="E92" s="335" t="s">
        <v>1595</v>
      </c>
      <c r="F92" s="192" t="s">
        <v>1494</v>
      </c>
    </row>
    <row r="93" spans="1:6" ht="60" x14ac:dyDescent="0.25">
      <c r="A93" s="192" t="s">
        <v>1596</v>
      </c>
      <c r="B93" s="192" t="s">
        <v>1597</v>
      </c>
      <c r="C93" s="191" t="s">
        <v>360</v>
      </c>
      <c r="D93" s="191" t="s">
        <v>862</v>
      </c>
      <c r="E93" s="335" t="s">
        <v>872</v>
      </c>
      <c r="F93" s="192" t="s">
        <v>1494</v>
      </c>
    </row>
    <row r="94" spans="1:6" ht="30" x14ac:dyDescent="0.25">
      <c r="A94" s="192" t="s">
        <v>1409</v>
      </c>
      <c r="B94" s="192" t="s">
        <v>1795</v>
      </c>
      <c r="C94" s="191" t="s">
        <v>1598</v>
      </c>
      <c r="D94" s="191" t="s">
        <v>862</v>
      </c>
      <c r="E94" s="335" t="s">
        <v>1408</v>
      </c>
      <c r="F94" s="192" t="s">
        <v>1494</v>
      </c>
    </row>
    <row r="95" spans="1:6" ht="30" x14ac:dyDescent="0.25">
      <c r="A95" s="192" t="s">
        <v>1409</v>
      </c>
      <c r="B95" s="192" t="s">
        <v>1796</v>
      </c>
      <c r="C95" s="191" t="s">
        <v>1599</v>
      </c>
      <c r="D95" s="191" t="s">
        <v>862</v>
      </c>
      <c r="E95" s="335" t="s">
        <v>1408</v>
      </c>
      <c r="F95" s="192" t="s">
        <v>1494</v>
      </c>
    </row>
    <row r="96" spans="1:6" ht="30" x14ac:dyDescent="0.25">
      <c r="A96" s="192" t="s">
        <v>1409</v>
      </c>
      <c r="B96" s="192" t="s">
        <v>1797</v>
      </c>
      <c r="C96" s="191" t="s">
        <v>498</v>
      </c>
      <c r="D96" s="191" t="s">
        <v>862</v>
      </c>
      <c r="E96" s="335" t="s">
        <v>1408</v>
      </c>
      <c r="F96" s="192" t="s">
        <v>1494</v>
      </c>
    </row>
    <row r="97" spans="1:6" ht="30" x14ac:dyDescent="0.25">
      <c r="A97" s="192" t="s">
        <v>1409</v>
      </c>
      <c r="B97" s="192" t="s">
        <v>1798</v>
      </c>
      <c r="C97" s="191" t="s">
        <v>1600</v>
      </c>
      <c r="D97" s="191" t="s">
        <v>862</v>
      </c>
      <c r="E97" s="335" t="s">
        <v>1408</v>
      </c>
      <c r="F97" s="192" t="s">
        <v>1494</v>
      </c>
    </row>
    <row r="98" spans="1:6" ht="30" x14ac:dyDescent="0.25">
      <c r="A98" s="192" t="s">
        <v>1409</v>
      </c>
      <c r="B98" s="192" t="s">
        <v>1799</v>
      </c>
      <c r="C98" s="191" t="s">
        <v>1601</v>
      </c>
      <c r="D98" s="191" t="s">
        <v>862</v>
      </c>
      <c r="E98" s="335" t="s">
        <v>1408</v>
      </c>
      <c r="F98" s="192" t="s">
        <v>1494</v>
      </c>
    </row>
    <row r="99" spans="1:6" ht="30" x14ac:dyDescent="0.25">
      <c r="A99" s="192" t="s">
        <v>1417</v>
      </c>
      <c r="B99" s="192" t="s">
        <v>1800</v>
      </c>
      <c r="C99" s="191" t="s">
        <v>1397</v>
      </c>
      <c r="D99" s="191" t="s">
        <v>862</v>
      </c>
      <c r="E99" s="335" t="s">
        <v>1414</v>
      </c>
      <c r="F99" s="192" t="s">
        <v>1494</v>
      </c>
    </row>
    <row r="100" spans="1:6" ht="45" x14ac:dyDescent="0.25">
      <c r="A100" s="192" t="s">
        <v>1413</v>
      </c>
      <c r="B100" s="192" t="s">
        <v>1801</v>
      </c>
      <c r="C100" s="191" t="s">
        <v>1602</v>
      </c>
      <c r="D100" s="191" t="s">
        <v>862</v>
      </c>
      <c r="E100" s="335" t="s">
        <v>1412</v>
      </c>
      <c r="F100" s="192" t="s">
        <v>1494</v>
      </c>
    </row>
    <row r="101" spans="1:6" ht="30" x14ac:dyDescent="0.25">
      <c r="A101" s="192" t="s">
        <v>1409</v>
      </c>
      <c r="B101" s="192" t="s">
        <v>1802</v>
      </c>
      <c r="C101" s="191" t="s">
        <v>1603</v>
      </c>
      <c r="D101" s="191" t="s">
        <v>862</v>
      </c>
      <c r="E101" s="335" t="s">
        <v>1408</v>
      </c>
      <c r="F101" s="192" t="s">
        <v>1494</v>
      </c>
    </row>
    <row r="102" spans="1:6" ht="45" x14ac:dyDescent="0.25">
      <c r="A102" s="192" t="s">
        <v>1604</v>
      </c>
      <c r="B102" s="192" t="s">
        <v>1605</v>
      </c>
      <c r="C102" s="191" t="s">
        <v>1606</v>
      </c>
      <c r="D102" s="191" t="s">
        <v>881</v>
      </c>
      <c r="E102" s="335" t="s">
        <v>1607</v>
      </c>
      <c r="F102" s="192" t="s">
        <v>1494</v>
      </c>
    </row>
    <row r="103" spans="1:6" ht="30" x14ac:dyDescent="0.25">
      <c r="A103" s="191" t="s">
        <v>1803</v>
      </c>
      <c r="B103" s="192" t="s">
        <v>1804</v>
      </c>
      <c r="C103" s="191" t="s">
        <v>1704</v>
      </c>
      <c r="D103" s="191" t="s">
        <v>862</v>
      </c>
      <c r="E103" s="192"/>
      <c r="F103" s="192"/>
    </row>
    <row r="104" spans="1:6" ht="45" x14ac:dyDescent="0.25">
      <c r="A104" s="191" t="s">
        <v>1805</v>
      </c>
      <c r="B104" s="192" t="s">
        <v>1806</v>
      </c>
      <c r="C104" s="191" t="s">
        <v>1753</v>
      </c>
      <c r="D104" s="191" t="s">
        <v>862</v>
      </c>
      <c r="E104" s="192" t="s">
        <v>867</v>
      </c>
      <c r="F104" s="192"/>
    </row>
    <row r="105" spans="1:6" ht="45" x14ac:dyDescent="0.25">
      <c r="A105" s="191" t="s">
        <v>1807</v>
      </c>
      <c r="B105" s="192" t="s">
        <v>1808</v>
      </c>
      <c r="C105" s="191" t="s">
        <v>1809</v>
      </c>
      <c r="D105" s="191" t="s">
        <v>862</v>
      </c>
      <c r="E105" s="192" t="s">
        <v>867</v>
      </c>
      <c r="F105" s="192"/>
    </row>
  </sheetData>
  <hyperlinks>
    <hyperlink ref="E30" r:id="rId1" xr:uid="{905CA1FB-FA48-4453-9867-1BF226DA773B}"/>
    <hyperlink ref="E31" r:id="rId2" xr:uid="{A87B6FC0-1DE8-45BC-ACE0-FEFBA4B96F8E}"/>
    <hyperlink ref="E32" r:id="rId3" xr:uid="{72D7C22C-C4D8-4A0F-8E69-728FAC040453}"/>
    <hyperlink ref="E33" r:id="rId4" xr:uid="{A324DEFF-FA3D-4D2A-AE19-C9B43C70E06B}"/>
    <hyperlink ref="E35" r:id="rId5" xr:uid="{8AB3B560-5ECA-4A0A-8112-3CD2FB59473F}"/>
    <hyperlink ref="E3" r:id="rId6" xr:uid="{BFF2A119-3F90-477A-9758-950763C06C9D}"/>
    <hyperlink ref="E11" r:id="rId7" xr:uid="{507924FB-77CF-4BB4-9FDA-DB0138EF5C54}"/>
    <hyperlink ref="E10" r:id="rId8" xr:uid="{AACBAF3E-2646-4003-B287-D999B11FFEFA}"/>
    <hyperlink ref="E39" r:id="rId9" xr:uid="{DEF46199-9ABC-441E-A874-75BBA520AAC3}"/>
    <hyperlink ref="E36" r:id="rId10" xr:uid="{1D6D64AE-1F25-45CA-85F0-AB4A7DBE33D5}"/>
    <hyperlink ref="E37" r:id="rId11" xr:uid="{62C81B15-A308-4CE1-9BE3-1BAD930ADF89}"/>
    <hyperlink ref="E38" r:id="rId12" xr:uid="{FE455557-8F87-4391-BE48-16CCD6B150B2}"/>
    <hyperlink ref="E41" r:id="rId13" xr:uid="{8B0845DE-1800-49D9-ABE7-6D52A904F1A4}"/>
    <hyperlink ref="E43" r:id="rId14" xr:uid="{CEE4E535-8BDE-47CE-88A3-80648EB9F014}"/>
    <hyperlink ref="E44" r:id="rId15" xr:uid="{52FF7720-CD99-4746-8211-D4F51F0FCEB1}"/>
    <hyperlink ref="E45" r:id="rId16" xr:uid="{E71F2561-A2EC-4826-A59A-C6E2BAFBE7AB}"/>
    <hyperlink ref="E46" r:id="rId17" xr:uid="{3CBAA4AA-EDB3-441C-A760-0A57B27F3E21}"/>
    <hyperlink ref="E49" r:id="rId18" xr:uid="{6397773A-B000-47A7-B862-37611646EC7C}"/>
    <hyperlink ref="E12" r:id="rId19" xr:uid="{261B819A-A309-42AD-8240-CEF99F0225E1}"/>
    <hyperlink ref="E14" r:id="rId20" xr:uid="{5D722DE1-03EE-4A7F-9CAF-DB0C334BB4C6}"/>
    <hyperlink ref="E15" r:id="rId21" xr:uid="{0DCC35FB-84B1-4BE2-9467-3FF1972B985B}"/>
    <hyperlink ref="E13" r:id="rId22" xr:uid="{1F65B53D-19BA-41FE-8D5C-048F8F058642}"/>
    <hyperlink ref="E50" r:id="rId23" xr:uid="{2067A982-3019-43F7-B7AC-53B3D1B72E22}"/>
    <hyperlink ref="E20" r:id="rId24" xr:uid="{DDE2FFE8-884B-4447-939B-A8E5795D2BBE}"/>
    <hyperlink ref="E29" r:id="rId25" xr:uid="{B85E6652-6390-49DE-9192-C7181299484E}"/>
    <hyperlink ref="E28" r:id="rId26" xr:uid="{9DE39460-ADAC-4F83-B056-DA41DA337C87}"/>
    <hyperlink ref="E27" r:id="rId27" xr:uid="{DCED99E3-AC7B-4BC0-97DA-D9F9C6816A74}"/>
    <hyperlink ref="E26" r:id="rId28" xr:uid="{303B0B8C-074C-4BA4-AE98-E15BC2D81592}"/>
    <hyperlink ref="E24" r:id="rId29" xr:uid="{AB25B095-4027-48AB-B866-48E21685AC58}"/>
    <hyperlink ref="E22" r:id="rId30" xr:uid="{47AB6960-DC39-41E1-BCE0-7559579305B9}"/>
    <hyperlink ref="E21" r:id="rId31" xr:uid="{4C4E0EF8-DCEA-4A1A-A1C9-3F998AA013E5}"/>
    <hyperlink ref="E25" r:id="rId32" xr:uid="{2007C129-4296-42D9-BA67-6161E5EEE1CB}"/>
    <hyperlink ref="E48" r:id="rId33" xr:uid="{B985EF44-6557-4DE9-8FC9-1205CD371ABA}"/>
    <hyperlink ref="E6" r:id="rId34" xr:uid="{A165131D-1EA9-4A72-B8C2-AAC91B4533FB}"/>
    <hyperlink ref="E7" r:id="rId35" xr:uid="{D797F37D-5325-4749-A117-A468C796A7EC}"/>
    <hyperlink ref="E8" r:id="rId36" xr:uid="{0E809A23-A0F1-4A15-B709-9B0BCBCF0857}"/>
    <hyperlink ref="E9" r:id="rId37" xr:uid="{E8880CFA-7143-46D1-88CD-FAFE2017F66E}"/>
    <hyperlink ref="E2" r:id="rId38" xr:uid="{73C9B792-9791-4A11-A0D7-C2C5ACEF5237}"/>
    <hyperlink ref="E16" r:id="rId39" xr:uid="{C0412CC8-651D-4ADE-89C5-FF5D3AC71A8E}"/>
    <hyperlink ref="E102" r:id="rId40" xr:uid="{A7ED9E65-C7D9-4DD0-8758-BEA65CA11A1E}"/>
    <hyperlink ref="E101" r:id="rId41" xr:uid="{FCEA88D8-9383-4D84-8AA4-DC3D6F31EFE8}"/>
    <hyperlink ref="E100" r:id="rId42" xr:uid="{AA619DAD-D3B1-46A7-8F3E-C39454D66DBE}"/>
    <hyperlink ref="E99" r:id="rId43" xr:uid="{5CE281E4-55A4-4C1E-9F66-88976FE79C94}"/>
    <hyperlink ref="E98" r:id="rId44" xr:uid="{7876F036-FC12-4DC4-85BE-6C461EB71D34}"/>
    <hyperlink ref="E97" r:id="rId45" xr:uid="{D9003183-F765-48FD-8591-18B53FA21C9B}"/>
    <hyperlink ref="E96" r:id="rId46" xr:uid="{FFA05221-D4D7-43F7-9D83-2F9886070CC5}"/>
    <hyperlink ref="E95" r:id="rId47" xr:uid="{E1AED0A7-1F12-4376-8FB1-62586975A493}"/>
    <hyperlink ref="E94" r:id="rId48" xr:uid="{6305F6FB-25D1-4E69-89C4-E2BC145FA13C}"/>
    <hyperlink ref="E93" r:id="rId49" xr:uid="{7AABB5E8-8A0D-486D-A496-09490DD5525A}"/>
    <hyperlink ref="E92" r:id="rId50" xr:uid="{D81C4C3E-D4F9-4A4E-9904-5608F380EB24}"/>
    <hyperlink ref="E91" r:id="rId51" xr:uid="{268C3ADA-6F50-4CD7-BAA7-B551D18D3D6F}"/>
    <hyperlink ref="E90" r:id="rId52" xr:uid="{C0CA4C87-CFBE-46FE-B02C-1B1E45548BAB}"/>
    <hyperlink ref="E89" r:id="rId53" xr:uid="{0A033A75-7EE5-43CD-ADF9-6A99FA646FAB}"/>
    <hyperlink ref="E88" r:id="rId54" xr:uid="{238362E6-3008-42A1-8142-857A96C7A432}"/>
    <hyperlink ref="E87" r:id="rId55" xr:uid="{58CBC694-11D7-471B-8D08-E3A995A3B452}"/>
    <hyperlink ref="E86" r:id="rId56" xr:uid="{75DC2D6A-FA2B-4B49-97C2-600BFBC4B609}"/>
    <hyperlink ref="E85" r:id="rId57" xr:uid="{7680FEFB-F5AF-45F1-807B-5FEDB2F5FDF0}"/>
    <hyperlink ref="E84" r:id="rId58" xr:uid="{BE47F0B7-7D8A-4AAF-BE7B-E6644CEFAB9E}"/>
    <hyperlink ref="E83" r:id="rId59" xr:uid="{94032CCD-F6F8-4DC0-9134-7FC1CA5CC51F}"/>
    <hyperlink ref="E82" r:id="rId60" xr:uid="{A366825D-9531-44F5-B752-62E2B797E54F}"/>
    <hyperlink ref="E81" r:id="rId61" xr:uid="{38B23AE3-7B01-4AAF-B2B9-CBF7203CEEFD}"/>
    <hyperlink ref="E80" r:id="rId62" xr:uid="{DD962D6C-44A1-4C84-B6A5-6A7088E5B08E}"/>
    <hyperlink ref="E79" r:id="rId63" xr:uid="{162D1150-8552-4DAA-9B6D-F3EDF1EDC08A}"/>
    <hyperlink ref="E78" r:id="rId64" xr:uid="{6B753CC8-73B5-41BA-AC8B-573A3D8296F8}"/>
    <hyperlink ref="E77" r:id="rId65" xr:uid="{91C56BFF-E826-43C4-947C-D473EDDE6B68}"/>
    <hyperlink ref="E76" r:id="rId66" xr:uid="{50DC747A-E5D1-401E-AC19-0523C086C8F6}"/>
    <hyperlink ref="E75" r:id="rId67" xr:uid="{CE508FB4-CF19-4E48-9368-96A72A12EE93}"/>
    <hyperlink ref="E74" r:id="rId68" xr:uid="{5D7B83CE-CB68-4066-B1ED-DFD4CDEE5787}"/>
    <hyperlink ref="E73" r:id="rId69" xr:uid="{5D7DBC69-3CA8-42A7-B485-DA6D63879790}"/>
    <hyperlink ref="E72" r:id="rId70" xr:uid="{BE1DEBFB-EB71-4E1B-8253-F00C128170FE}"/>
    <hyperlink ref="E71" r:id="rId71" xr:uid="{F465FCC1-B313-42E5-8856-D4C4F7994925}"/>
    <hyperlink ref="E70" r:id="rId72" xr:uid="{0BFC48EE-A942-4A65-BF6E-B6AFF1A68A61}"/>
    <hyperlink ref="E69" r:id="rId73" xr:uid="{229370C7-624D-47EE-BCA4-2B21BC8FE7C5}"/>
    <hyperlink ref="E68" r:id="rId74" xr:uid="{DF8931E0-4605-49C0-8534-5C174DB13AA3}"/>
    <hyperlink ref="E67" r:id="rId75" xr:uid="{EF8B4538-8749-4666-AE06-D9EE98841C12}"/>
    <hyperlink ref="E66" r:id="rId76" xr:uid="{1629101B-E128-4135-BA97-74A5303F0B2C}"/>
    <hyperlink ref="E65" r:id="rId77" xr:uid="{1710F4B2-3960-4242-A9F8-02C40883999B}"/>
    <hyperlink ref="E64" r:id="rId78" xr:uid="{38472D98-9BCC-40B7-BEAF-FBF36377FF80}"/>
    <hyperlink ref="E63" r:id="rId79" xr:uid="{AAFEDD29-07B8-40A9-B321-D622BC41B8CA}"/>
    <hyperlink ref="E62" r:id="rId80" xr:uid="{B6F4D07F-2C31-46C7-B987-A1F4E3671120}"/>
    <hyperlink ref="E61" r:id="rId81" xr:uid="{BD6D198D-653F-4F63-8D17-672D1FB83805}"/>
    <hyperlink ref="E60" r:id="rId82" xr:uid="{338D7A1D-E988-4AF6-A4F1-36AE527530AB}"/>
    <hyperlink ref="E59" r:id="rId83" xr:uid="{1C317507-517A-4B9E-A4D8-AF3EA1140C1D}"/>
    <hyperlink ref="E58" r:id="rId84" xr:uid="{C29939EC-2257-4438-9301-E998A47FEF5D}"/>
    <hyperlink ref="E57" r:id="rId85" xr:uid="{B6507F05-3F3B-494D-98A8-BE469D75AB53}"/>
    <hyperlink ref="E56" r:id="rId86" xr:uid="{71DA12AB-BC96-4761-AC97-268C236BACB3}"/>
    <hyperlink ref="E55" r:id="rId87" xr:uid="{48C6ECD9-D129-4A79-A3B0-FF140BEFDDD6}"/>
    <hyperlink ref="E54" r:id="rId88" xr:uid="{FB9F2C2A-0CAA-4D74-9C67-45D3A5F38D88}"/>
    <hyperlink ref="E53" r:id="rId89" xr:uid="{B9E114D6-4F5C-4393-94E4-2F58157F0364}"/>
    <hyperlink ref="E52" r:id="rId90" xr:uid="{E2A7434A-18D1-483E-B134-63665FCAEC1B}"/>
  </hyperlinks>
  <pageMargins left="0.7" right="0.7" top="0.78740157499999996" bottom="0.78740157499999996" header="0.3" footer="0.3"/>
  <tableParts count="1">
    <tablePart r:id="rId9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Top-Level</vt:lpstr>
      <vt:lpstr>Environmental Impact</vt:lpstr>
      <vt:lpstr>Economic Viability</vt:lpstr>
      <vt:lpstr>Circular Efforts</vt:lpstr>
      <vt:lpstr>Resource Efficiency</vt:lpstr>
      <vt:lpstr>Social Impact</vt:lpstr>
      <vt:lpstr>Metrics List</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Saleh, Hutomo</dc:creator>
  <cp:keywords/>
  <dc:description/>
  <cp:lastModifiedBy>Saleh, Hutomo</cp:lastModifiedBy>
  <cp:revision/>
  <dcterms:created xsi:type="dcterms:W3CDTF">2015-06-05T18:19:34Z</dcterms:created>
  <dcterms:modified xsi:type="dcterms:W3CDTF">2026-08-20T14:36:53Z</dcterms:modified>
  <cp:category/>
  <cp:contentStatus/>
</cp:coreProperties>
</file>